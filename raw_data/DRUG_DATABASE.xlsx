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89221da95ab88e/Desktop/계산툴개발/"/>
    </mc:Choice>
  </mc:AlternateContent>
  <xr:revisionPtr revIDLastSave="15" documentId="8_{CA5E3AEF-2795-4C16-B993-8AA9CBED8D35}" xr6:coauthVersionLast="47" xr6:coauthVersionMax="47" xr10:uidLastSave="{DDE8D280-78E9-4E0D-8BF7-40BA18432196}"/>
  <bookViews>
    <workbookView xWindow="-98" yWindow="-98" windowWidth="21795" windowHeight="12975" activeTab="2" xr2:uid="{D0EFAF72-EBE9-4A44-8A64-FE01DAFE240B}"/>
  </bookViews>
  <sheets>
    <sheet name="Direction_Definition" sheetId="1" r:id="rId1"/>
    <sheet name="Method_Reference" sheetId="2" r:id="rId2"/>
    <sheet name="Master_Conversion_DB " sheetId="3" r:id="rId3"/>
    <sheet name="Validation_Cases (확정판)" sheetId="4" r:id="rId4"/>
    <sheet name="Changelog" sheetId="5" r:id="rId5"/>
    <sheet name="Method_Denominator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M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M2" i="3"/>
  <c r="L2" i="3"/>
  <c r="B19" i="1"/>
</calcChain>
</file>

<file path=xl/sharedStrings.xml><?xml version="1.0" encoding="utf-8"?>
<sst xmlns="http://schemas.openxmlformats.org/spreadsheetml/2006/main" count="776" uniqueCount="357">
  <si>
    <t>DDD</t>
  </si>
  <si>
    <t>MED</t>
  </si>
  <si>
    <t>CMD</t>
  </si>
  <si>
    <t>Method_ID</t>
  </si>
  <si>
    <t>Method_Name</t>
  </si>
  <si>
    <t>Minimum Effective Dose</t>
  </si>
  <si>
    <t>Classical Mean Dose</t>
  </si>
  <si>
    <t>Defined Daily Dose</t>
  </si>
  <si>
    <t>ED95</t>
  </si>
  <si>
    <t>Term</t>
  </si>
  <si>
    <t>Definition</t>
  </si>
  <si>
    <t>Example</t>
  </si>
  <si>
    <t>source_drug</t>
  </si>
  <si>
    <t>입력 약물 (기준 1mg)</t>
  </si>
  <si>
    <t>OLZ</t>
  </si>
  <si>
    <t>target_drug</t>
  </si>
  <si>
    <t>변환 결과 약물</t>
  </si>
  <si>
    <t>RIS</t>
  </si>
  <si>
    <t>factor</t>
  </si>
  <si>
    <t>Calculation</t>
  </si>
  <si>
    <t>target_dose = source_dose × factor</t>
  </si>
  <si>
    <t>source = OLZ</t>
  </si>
  <si>
    <t>OLZ 1mg → Drug x mg</t>
  </si>
  <si>
    <t>source = RIS</t>
  </si>
  <si>
    <t>RIS 1mg → Drug x mg</t>
  </si>
  <si>
    <t>Inverse rule</t>
  </si>
  <si>
    <t>mg of target per 1mg source</t>
  </si>
  <si>
    <t>OLZ 10mg → 10×0.267 = 2.67mg RIS</t>
  </si>
  <si>
    <t>Anchor MED/CMD/DDD</t>
  </si>
  <si>
    <t>Anchor ED95</t>
  </si>
  <si>
    <t>Anchor CPZ_FGA</t>
  </si>
  <si>
    <t>source = CPZ</t>
  </si>
  <si>
    <t>CPZ 1mg → Drug x mg</t>
  </si>
  <si>
    <t>DDD formula</t>
  </si>
  <si>
    <t>factor = Drug_DDD_mg / OLZ_DDD_mg(10)</t>
  </si>
  <si>
    <t>RIS: 5/10=0.500</t>
  </si>
  <si>
    <t>CPZ_FGA formula</t>
  </si>
  <si>
    <t>factor = Drug_CPZeq_mg / CPZ_ref_mg(100)</t>
  </si>
  <si>
    <t>HAL: 1.6/100=0.016</t>
  </si>
  <si>
    <t>수기 입력 금지. 공식: =1/factor. Full-precision 역수 계산 후 소수점 3자리 반올림 저장. 예: 1/0.267=3.745318... → 3.745</t>
  </si>
  <si>
    <t>OLZ→RIS 0.267 → RIS→OLZ 3.745</t>
  </si>
  <si>
    <t>target_reference_value</t>
  </si>
  <si>
    <t>target_ref_mg 컬럼의 의미. 논문에서 해당 약물의 기준값(MED/ED95의 경우 실제 mg dose, CMD의 경우 factor denominator representation). CMD는 실제 OLZ 평균용량이 아닌 equivalent ratio이므로 빈칸.</t>
  </si>
  <si>
    <t>MED: RIS=2 (실제 MED mg). CMD: 빈칸.</t>
  </si>
  <si>
    <t>rounding_policy</t>
  </si>
  <si>
    <t>factor: 소수점 3자리. expected_mg: 소수점 2자리. Inverse: full-precision 계산 후 소수점 3자리 저장.</t>
  </si>
  <si>
    <t>0.267 / 2.67 / 3.745</t>
  </si>
  <si>
    <t>validation_tolerance</t>
  </si>
  <si>
    <t>일반 약물: PASS if absolute error ≤ 0.05. 고용량 약물(AMI/CLZ/QTP 등): PASS if absolute error ≤ 1.0 OR relative error ≤ 5% (둘 중 하나 충족 시 PASS).</t>
  </si>
  <si>
    <t>AMI: abs≤1.0 or rel≤5%</t>
  </si>
  <si>
    <t>DDD_status_codes</t>
  </si>
  <si>
    <t>primary=WHO DDD 확인. not_in_Leucht2016=Leucht 2016 Table에 없으나 WHO 상태 미확인. not_assigned_by_WHO=WHO ATC index에 DDD 미지정. verification_pending=WHO 상태 아직 미확인.</t>
  </si>
  <si>
    <t>iloperidone=verification_pending</t>
  </si>
  <si>
    <t>CPZ_FGA_provenance</t>
  </si>
  <si>
    <t>CPZ_FGA 값들은 Leucht 2015 Table 2 (citing Davis 1974)에서 추출한 secondary-source historical equivalence estimates. Davis 원문을 직접 추출한 것이 아님. 논문/리뷰어 대응 시 "as reported in Leucht 2015 Table 2, citing Davis 1974" 표현 사용.</t>
  </si>
  <si>
    <t>HAL factor=0.016</t>
  </si>
  <si>
    <t>HAL_CPZ_versions</t>
  </si>
  <si>
    <t>Davis 1974 via Leucht 2015 Table 2: HAL 1.6mg=CPZ100mg. Woods 2003/APA convention: HAL 2mg=CPZ100mg (APA guideline 기반, empirical 아님). DB는 Davis값 사용.</t>
  </si>
  <si>
    <t>CPZ_FGA factor=0.016</t>
  </si>
  <si>
    <t>NA_policy</t>
  </si>
  <si>
    <t>빈칸 = 데이터 없음. Python: NaN. 엑셀: 빈칸. 문자 "NA" 사용 금지.</t>
  </si>
  <si>
    <t>D열 빈칸</t>
  </si>
  <si>
    <t>lookup_key</t>
  </si>
  <si>
    <t>MED_OLZ_risperidone</t>
  </si>
  <si>
    <t>version_freeze</t>
  </si>
  <si>
    <t>v1.0 이후 값 수정 금지. 수정 시 반드시 Changelog에 기록 후 v1.1로 업버전.</t>
  </si>
  <si>
    <t>AP_EQ_DB_v1.0</t>
  </si>
  <si>
    <t>Core_Concept</t>
  </si>
  <si>
    <t>Source_Anchor</t>
  </si>
  <si>
    <t>factor_formula</t>
  </si>
  <si>
    <t>Primary_Reference</t>
  </si>
  <si>
    <t>PMID_Primary</t>
  </si>
  <si>
    <t>Updated_Reference</t>
  </si>
  <si>
    <t>PMID_Updated</t>
  </si>
  <si>
    <t>Important_Note</t>
  </si>
  <si>
    <t>CPZ_FGA</t>
  </si>
  <si>
    <t>Classical CPZ Equivalent (FGA only)</t>
  </si>
  <si>
    <t>Secondary-source historical CPZ equivalence. FGA만 포함. Davis-era. 값은 Leucht 2015 Table 2 via Davis 1974.</t>
  </si>
  <si>
    <t>CPZ</t>
  </si>
  <si>
    <t>Drug_CPZeq/100</t>
  </si>
  <si>
    <t>Davis JM. J Psychiatr Res. 1974;11:65-69</t>
  </si>
  <si>
    <t>—</t>
  </si>
  <si>
    <t>고정용량 위약대조 RCT 최소 유효 용량. factor=Drug_MED/OLZ_MED(7.5)</t>
  </si>
  <si>
    <t>Drug_MED/7.5</t>
  </si>
  <si>
    <t>Woods SW. J Clin Psychiatry. 2003;64(6):663-667</t>
  </si>
  <si>
    <t>Leucht S et al. Schizophr Bull. 2014;40(2):314-326</t>
  </si>
  <si>
    <t>First-episode/refractory 불가. Acute schizophrenia 기준. Generally MED-derived equivalents tend to be lower than CMD or ED95 (not absolute).</t>
  </si>
  <si>
    <t>유연용량 RCT 처방 평균 용량 weighted by study size. Olanzapine-equivalent ratios로 표기. factor=Drug_weighted_mean/OLZ_weighted_mean</t>
  </si>
  <si>
    <t>Drug_mean/OLZ_mean</t>
  </si>
  <si>
    <t>Leucht S et al. Schizophr Bull. 2015;41(6):1397-1402</t>
  </si>
  <si>
    <t>Iloperidone/lurasidone/paliperidone: no data.</t>
  </si>
  <si>
    <t>WHO 성인 평균 유지용량. 약물소비 통계 목적. factor=Drug_DDD_mg/10</t>
  </si>
  <si>
    <t>Drug_DDD/10</t>
  </si>
  <si>
    <t>Leucht S et al. Schizophr Bull. 2016;42(S1):S90-S94</t>
  </si>
  <si>
    <t>Dose-Response ED95</t>
  </si>
  <si>
    <t>용량-반응 메타분석 최대 효과의 95% 달성 용량. factor=Drug_ED95/RIS_ED95(6.3)</t>
  </si>
  <si>
    <t>Drug_ED95/6.3</t>
  </si>
  <si>
    <t>Leucht S et al. Am J Psychiatry. 2020;177(4):342-353</t>
  </si>
  <si>
    <t>Positive symptoms 기준. HAL/CLZ: 단일 연구(N=1). Not recommended as robust anchor conversion estimate.</t>
  </si>
  <si>
    <t>SGA(RIS/OLZ/ARI 등) 포함 불가. Davis 시대 FGA만 해당. Leucht 2015 Table 2 재정리값.</t>
    <phoneticPr fontId="2" type="noConversion"/>
  </si>
  <si>
    <t>efficacy 기반 아님. dose equivalence 사용 시 limitation 필수 명시. Oral 기준.</t>
    <phoneticPr fontId="2" type="noConversion"/>
  </si>
  <si>
    <t>method_id</t>
  </si>
  <si>
    <t>source_ref_mg</t>
  </si>
  <si>
    <t>pmid</t>
  </si>
  <si>
    <t>data_quality</t>
  </si>
  <si>
    <t>note</t>
  </si>
  <si>
    <t>source_table_location</t>
  </si>
  <si>
    <t>chlorpromazine</t>
  </si>
  <si>
    <t>anchor</t>
  </si>
  <si>
    <t>Secondary-source historical CPZ equivalence as reported in Leucht 2015 Table 2, citing Davis 1974. Anchor.</t>
  </si>
  <si>
    <t>CPZ_FGA_CPZ_chlorpromazine</t>
  </si>
  <si>
    <t>Leucht 2015 Schizophr Bull Table 2 (citing Davis 1974)</t>
  </si>
  <si>
    <t>fluphenazine</t>
  </si>
  <si>
    <t>primary</t>
  </si>
  <si>
    <t>Secondary-source historical CPZ equivalence as reported in Leucht 2015 Table 2, citing Davis 1974. CPZ100=FLU1.2mg.</t>
  </si>
  <si>
    <t>CPZ_FGA_CPZ_fluphenazine</t>
  </si>
  <si>
    <t>haloperidol</t>
  </si>
  <si>
    <t>CPZ_FGA_CPZ_haloperidol</t>
  </si>
  <si>
    <t>Leucht 2015 Schizophr Bull Table 2 (citing Davis 1974); Leucht 2014 Methods</t>
  </si>
  <si>
    <t>perphenazine</t>
  </si>
  <si>
    <t>Secondary-source historical CPZ equivalence as reported in Leucht 2015 Table 2, citing Davis 1974. CPZ100=PER8.9mg. 문헌별 8~10mg 변동 있음.</t>
  </si>
  <si>
    <t>CPZ_FGA_CPZ_perphenazine</t>
  </si>
  <si>
    <t>thioridazine</t>
  </si>
  <si>
    <t>Secondary-source historical CPZ equivalence as reported in Leucht 2015 Table 2, citing Davis 1974. CPZ100=THD95.3mg.</t>
  </si>
  <si>
    <t>CPZ_FGA_CPZ_thioridazine</t>
  </si>
  <si>
    <t>thiothixene</t>
  </si>
  <si>
    <t>Secondary-source historical CPZ equivalence as reported in Leucht 2015 Table 2, citing Davis 1974. CPZ100=TTX5.2mg.</t>
  </si>
  <si>
    <t>CPZ_FGA_CPZ_thiothixene</t>
  </si>
  <si>
    <t>trifluoperazine</t>
  </si>
  <si>
    <t>Secondary-source historical CPZ equivalence as reported in Leucht 2015 Table 2, citing Davis 1974. CPZ100=TFP2.8mg.</t>
  </si>
  <si>
    <t>CPZ_FGA_CPZ_trifluoperazine</t>
  </si>
  <si>
    <t>amisulpride</t>
  </si>
  <si>
    <t>NA</t>
  </si>
  <si>
    <t>Leucht 2014: reliable estimate 도출 불가.</t>
  </si>
  <si>
    <t>MED_OLZ_amisulpride</t>
  </si>
  <si>
    <t>Leucht 2014 Abstract</t>
  </si>
  <si>
    <t>aripiprazole</t>
  </si>
  <si>
    <t>10/7.5=1.333</t>
  </si>
  <si>
    <t>MED_OLZ_aripiprazole</t>
  </si>
  <si>
    <t>Leucht 2014 Abstract; Table 1</t>
  </si>
  <si>
    <t>asenapine</t>
  </si>
  <si>
    <t>MED_OLZ_asenapine</t>
  </si>
  <si>
    <t>clozapine</t>
  </si>
  <si>
    <t>MED_OLZ_clozapine</t>
  </si>
  <si>
    <t>4/7.5=0.533</t>
  </si>
  <si>
    <t>MED_OLZ_haloperidol</t>
  </si>
  <si>
    <t>iloperidone</t>
  </si>
  <si>
    <t>8/7.5=1.067</t>
  </si>
  <si>
    <t>MED_OLZ_iloperidone</t>
  </si>
  <si>
    <t>lurasidone</t>
  </si>
  <si>
    <t>40/7.5=5.333</t>
  </si>
  <si>
    <t>MED_OLZ_lurasidone</t>
  </si>
  <si>
    <t>olanzapine</t>
  </si>
  <si>
    <t>anchor. 7.5/7.5=1.000</t>
  </si>
  <si>
    <t>MED_OLZ_olanzapine</t>
  </si>
  <si>
    <t>paliperidone</t>
  </si>
  <si>
    <t>Acute schizophrenia MED. maintenance 6mg과 구분. 3/7.5=0.400</t>
  </si>
  <si>
    <t>MED_OLZ_paliperidone</t>
  </si>
  <si>
    <t>quetiapine</t>
  </si>
  <si>
    <t>150/7.5=20.000</t>
  </si>
  <si>
    <t>MED_OLZ_quetiapine</t>
  </si>
  <si>
    <t>risperidone</t>
  </si>
  <si>
    <t>2/7.5=0.267</t>
  </si>
  <si>
    <t>sertindole</t>
  </si>
  <si>
    <t>12/7.5=1.600</t>
  </si>
  <si>
    <t>MED_OLZ_sertindole</t>
  </si>
  <si>
    <t>ziprasidone</t>
  </si>
  <si>
    <t>MED_OLZ_ziprasidone</t>
  </si>
  <si>
    <t>zotepine</t>
  </si>
  <si>
    <t>MED_OLZ_zotepine</t>
  </si>
  <si>
    <t>Flexible-dose RCT weighted mean / OLZ weighted mean (Leucht 2015). 용량범위 400-1200mg 영향 가능.</t>
  </si>
  <si>
    <t>CMD_OLZ_amisulpride</t>
  </si>
  <si>
    <t>Leucht 2015 Abstract; Table 1</t>
  </si>
  <si>
    <t>Flexible-dose RCT weighted mean / OLZ weighted mean (Leucht 2015).</t>
  </si>
  <si>
    <t>CMD_OLZ_aripiprazole</t>
  </si>
  <si>
    <t>CMD_OLZ_asenapine</t>
  </si>
  <si>
    <t>Flexible-dose RCT weighted mean / OLZ weighted mean (Leucht 2015). OLZ10mg≈CPZ389mg.</t>
  </si>
  <si>
    <t>CMD_OLZ_chlorpromazine</t>
  </si>
  <si>
    <t>CMD_OLZ_clozapine</t>
  </si>
  <si>
    <t>CMD_OLZ_haloperidol</t>
  </si>
  <si>
    <t>no_data</t>
  </si>
  <si>
    <t>No eligible flexible-dose data (Leucht 2015).</t>
  </si>
  <si>
    <t>CMD_OLZ_iloperidone</t>
  </si>
  <si>
    <t>Leucht 2015 Methods</t>
  </si>
  <si>
    <t>CMD_OLZ_lurasidone</t>
  </si>
  <si>
    <t>Anchor.</t>
  </si>
  <si>
    <t>CMD_OLZ_olanzapine</t>
  </si>
  <si>
    <t>CMD_OLZ_paliperidone</t>
  </si>
  <si>
    <t>CMD_OLZ_quetiapine</t>
  </si>
  <si>
    <t>CMD_OLZ_risperidone</t>
  </si>
  <si>
    <t>CMD_OLZ_sertindole</t>
  </si>
  <si>
    <t>CMD_OLZ_ziprasidone</t>
  </si>
  <si>
    <t>CMD_OLZ_zotepine</t>
  </si>
  <si>
    <t>WHO DDD: AMI=400mg oral. 400/10=40.000.</t>
  </si>
  <si>
    <t>DDD_OLZ_amisulpride</t>
  </si>
  <si>
    <t>Leucht 2016 Table 1 (PMC4960429)</t>
  </si>
  <si>
    <t>WHO DDD: ARI=15mg oral. 15/10=1.500.</t>
  </si>
  <si>
    <t>DDD_OLZ_aripiprazole</t>
  </si>
  <si>
    <t>WHO DDD: ASE=20mg oral. 20/10=2.000.</t>
  </si>
  <si>
    <t>DDD_OLZ_asenapine</t>
  </si>
  <si>
    <t>WHO DDD: CPZ=300mg oral. 300/10=30.000.</t>
  </si>
  <si>
    <t>DDD_OLZ_chlorpromazine</t>
  </si>
  <si>
    <t>WHO DDD: CLZ=300mg oral. 300/10=30.000.</t>
  </si>
  <si>
    <t>DDD_OLZ_clozapine</t>
  </si>
  <si>
    <t>WHO DDD: HAL=8mg oral. 8/10=0.800.</t>
  </si>
  <si>
    <t>DDD_OLZ_haloperidol</t>
  </si>
  <si>
    <t>verification_pending</t>
  </si>
  <si>
    <t>Leucht 2016 Table 1에 미수록. WHO ATC/DDD index 상태 미확인. 추가 검증 필요.</t>
  </si>
  <si>
    <t>DDD_OLZ_iloperidone</t>
  </si>
  <si>
    <t>Leucht 2016 Table 1 not listed; WHO ATC/DDD unconfirmed</t>
  </si>
  <si>
    <t>WHO DDD: LUR=80mg oral. 80/10=8.000.</t>
  </si>
  <si>
    <t>DDD_OLZ_lurasidone</t>
  </si>
  <si>
    <t>WHO DDD: OLZ=10mg oral. Anchor.</t>
  </si>
  <si>
    <t>DDD_OLZ_olanzapine</t>
  </si>
  <si>
    <t>WHO DDD: PAL=6mg oral 기준. LAI 별도. 6/10=0.600.</t>
  </si>
  <si>
    <t>DDD_OLZ_paliperidone</t>
  </si>
  <si>
    <t>WHO DDD: QTP=400mg oral. 400/10=40.000.</t>
  </si>
  <si>
    <t>DDD_OLZ_quetiapine</t>
  </si>
  <si>
    <t>WHO DDD: RIS=5mg oral. 5/10=0.500.</t>
  </si>
  <si>
    <t>DDD_OLZ_risperidone</t>
  </si>
  <si>
    <t>not_assigned_by_WHO</t>
  </si>
  <si>
    <t>WHO ATC/DDD index N05AE03에 DDD 미지정. ATC code 존재하나 DDD 없음.</t>
  </si>
  <si>
    <t>DDD_OLZ_sertindole</t>
  </si>
  <si>
    <t>WHO ATC/DDD Index N05AE03; Leucht 2016 Table 1 not listed</t>
  </si>
  <si>
    <t>WHO DDD: ZIP=120mg oral. 120/10=12.000.</t>
  </si>
  <si>
    <t>DDD_OLZ_ziprasidone</t>
  </si>
  <si>
    <t>WHO DDD: ZOT=0.2g oral (=200mg oral). N05AX11. Verified WHO ATC/DDD Index 2026-01-20. 200/10=20.000.</t>
  </si>
  <si>
    <t>DDD_OLZ_zotepine</t>
  </si>
  <si>
    <t>WHO ATC/DDD Index N05AX11 (verified 2026-01-20); Leucht 2016 Table 1</t>
  </si>
  <si>
    <t>ED95_RIS_amisulpride</t>
  </si>
  <si>
    <t>Leucht 2020 Table 1; Abstract</t>
  </si>
  <si>
    <t>11.5/6.3=1.825</t>
  </si>
  <si>
    <t>ED95_RIS_aripiprazole</t>
  </si>
  <si>
    <t>15.0/6.3=2.381</t>
  </si>
  <si>
    <t>ED95_RIS_asenapine</t>
  </si>
  <si>
    <t>brexpiprazole</t>
  </si>
  <si>
    <t>3.36/6.3=0.533</t>
  </si>
  <si>
    <t>ED95_RIS_brexpiprazole</t>
  </si>
  <si>
    <t>limited</t>
  </si>
  <si>
    <t>ED95_RIS_haloperidol</t>
  </si>
  <si>
    <t>Leucht 2020 Table 1; Results (single study only)</t>
  </si>
  <si>
    <t>20.13/6.3=3.195</t>
  </si>
  <si>
    <t>ED95_RIS_iloperidone</t>
  </si>
  <si>
    <t>147/6.3=23.333</t>
  </si>
  <si>
    <t>ED95_RIS_lurasidone</t>
  </si>
  <si>
    <t>Positive symptoms. 15.2/6.3=2.413.</t>
  </si>
  <si>
    <t>ED95_RIS_olanzapine</t>
  </si>
  <si>
    <t>13.4/6.3=2.127</t>
  </si>
  <si>
    <t>ED95_RIS_paliperidone</t>
  </si>
  <si>
    <t>Positive symptoms. 482/6.3=76.508.</t>
  </si>
  <si>
    <t>ED95_RIS_quetiapine</t>
  </si>
  <si>
    <t>ED95_RIS_risperidone</t>
  </si>
  <si>
    <t>Leucht 2020 Abstract</t>
  </si>
  <si>
    <t>22.5/6.3=3.571</t>
  </si>
  <si>
    <t>ED95_RIS_sertindole</t>
  </si>
  <si>
    <t>186/6.3=29.524</t>
  </si>
  <si>
    <t>ED95_RIS_ziprasidone</t>
  </si>
  <si>
    <t>Secondary-source historical empirical/clinical equivalence estimate as reported in Leucht 2015 Table 2, citing Davis 1974. CPZ100=HAL1.6mg. / Woods 2003/APA convention(HAL 2mg=CPZ100mg)과 다름.</t>
    <phoneticPr fontId="2" type="noConversion"/>
  </si>
  <si>
    <t>Flexible-dose RCT weighted mean / OLZ weighted mean (Leucht 2015). / 치료저항성 대상.</t>
    <phoneticPr fontId="2" type="noConversion"/>
  </si>
  <si>
    <t xml:space="preserve"> 단일 연구(N=1). Bell-shaped curve. HAL ED95=RIS ED95=6.3mg 우연 일치 가능성. Not recommended as robust anchor conversion estimate.</t>
    <phoneticPr fontId="2" type="noConversion"/>
  </si>
  <si>
    <t>method_id</t>
    <phoneticPr fontId="2" type="noConversion"/>
  </si>
  <si>
    <t>test_id</t>
  </si>
  <si>
    <t>source_dose</t>
  </si>
  <si>
    <t>DB_used</t>
  </si>
  <si>
    <t>lookup_key_used</t>
  </si>
  <si>
    <t>expected_mg</t>
  </si>
  <si>
    <t>abs_tolerance</t>
  </si>
  <si>
    <t>tolerance_rule</t>
  </si>
  <si>
    <t>calculated_mg</t>
  </si>
  <si>
    <t>pass_check</t>
  </si>
  <si>
    <t>clinical_note</t>
  </si>
  <si>
    <t>V01</t>
  </si>
  <si>
    <t>Primary</t>
  </si>
  <si>
    <t>absolute</t>
  </si>
  <si>
    <t>[공식]</t>
  </si>
  <si>
    <t>OLZ 10mg≈RIS 2.67mg ✓</t>
  </si>
  <si>
    <t>V02</t>
  </si>
  <si>
    <t>Inverse</t>
  </si>
  <si>
    <t>MED_risperidone_OLZ</t>
  </si>
  <si>
    <t>RIS 4mg≈OLZ 14.98mg ✓</t>
  </si>
  <si>
    <t>V03</t>
  </si>
  <si>
    <t>OLZ 10mg≈RIS 4mg ✓</t>
  </si>
  <si>
    <t>V04</t>
  </si>
  <si>
    <t>CMD_risperidone_OLZ</t>
  </si>
  <si>
    <t>RIS 4mg≈OLZ 10mg ✓</t>
  </si>
  <si>
    <t>V05</t>
  </si>
  <si>
    <t>RIS 6.3mg≈OLZ 15.20mg ✓</t>
  </si>
  <si>
    <t>V06</t>
  </si>
  <si>
    <t>ED95_olanzapine_RIS</t>
  </si>
  <si>
    <t>역산 OLZ 15.2mg≈RIS 6.30mg ✓</t>
  </si>
  <si>
    <t>V07</t>
  </si>
  <si>
    <t>원문 MED값 일치 ✓</t>
  </si>
  <si>
    <t>V08</t>
  </si>
  <si>
    <t>WHO DDD: OLZ10→RIS5 ✓</t>
  </si>
  <si>
    <t>V09</t>
  </si>
  <si>
    <t>Davis1974 via Leucht2015 Table2: CPZ 100mg≈HAL 1.6mg ✓</t>
  </si>
  <si>
    <t>V10</t>
  </si>
  <si>
    <t>CPZ_FGA_haloperidol_CPZ</t>
  </si>
  <si>
    <t>absolute_high</t>
  </si>
  <si>
    <t>역산 HAL 2mg≈CPZ 125mg. Davis1974 empirical(1.6mg=100mg) 기준. Woods/APA convention(2mg=100mg)과 다름.</t>
  </si>
  <si>
    <t>V11</t>
  </si>
  <si>
    <t>absolute_or_5pct</t>
  </si>
  <si>
    <t>WHO DDD: ZOT=0.2g(=200mg) oral. OLZ10mg→ZOT200mg ✓</t>
  </si>
  <si>
    <t>V12</t>
  </si>
  <si>
    <t>N/A</t>
  </si>
  <si>
    <t>NA_expected</t>
  </si>
  <si>
    <t>lookup error</t>
  </si>
  <si>
    <t>Amisulpride MED: data 없음. lookup error 예상 동작 확인용.</t>
  </si>
  <si>
    <r>
      <t xml:space="preserve">계산 공식: </t>
    </r>
    <r>
      <rPr>
        <sz val="10"/>
        <color theme="1"/>
        <rFont val="Arial Unicode MS"/>
        <family val="2"/>
      </rPr>
      <t>=IFERROR([@source_dose]*INDEX(Master_Conversion_DB!$D:$D,MATCH([@lookup_key_used],Master_Conversion_DB!$J:$J,0)),"lookup error")</t>
    </r>
  </si>
  <si>
    <r>
      <t xml:space="preserve">PASS 판정 공식 (일반): </t>
    </r>
    <r>
      <rPr>
        <sz val="10"/>
        <color theme="1"/>
        <rFont val="Arial Unicode MS"/>
        <family val="2"/>
      </rPr>
      <t>=IF(ABS([@calculated_mg]-[@expected_mg])&lt;=[@abs_tolerance],"PASS","FAIL")</t>
    </r>
    <r>
      <rPr>
        <sz val="11"/>
        <color theme="1"/>
        <rFont val="맑은 고딕"/>
        <family val="2"/>
        <charset val="129"/>
        <scheme val="minor"/>
      </rPr>
      <t xml:space="preserve"> PASS 판정 공식 (고용량): </t>
    </r>
    <r>
      <rPr>
        <sz val="10"/>
        <color theme="1"/>
        <rFont val="Arial Unicode MS"/>
        <family val="2"/>
      </rPr>
      <t>=IF(OR(ABS([@calculated_mg]-[@expected_mg])&lt;=[@abs_tolerance],ABS([@calculated_mg]-[@expected_mg])/[@expected_mg]&lt;=0.05),"PASS","FAIL")</t>
    </r>
  </si>
  <si>
    <t>version</t>
  </si>
  <si>
    <t>date</t>
  </si>
  <si>
    <t>change_type</t>
  </si>
  <si>
    <t>description</t>
  </si>
  <si>
    <t>affected_rows</t>
  </si>
  <si>
    <t>v1.0</t>
  </si>
  <si>
    <t>initial_release</t>
  </si>
  <si>
    <t>Master DB 최초 확정 버전. CPZ_FGA/MED/CMD/DDD/ED95 전체 수록.</t>
  </si>
  <si>
    <t>All</t>
  </si>
  <si>
    <t>correction</t>
  </si>
  <si>
    <t>CMD source_ref_mg 문자 제거 → 빈칸 (pandas 호환)</t>
  </si>
  <si>
    <t>All CMD rows</t>
  </si>
  <si>
    <t>DDD zotepine: not_assigned_by_WHO → primary. WHO DDD=0.2g(200mg) oral 직접 확인. factor=20.000 추가.</t>
  </si>
  <si>
    <t>DDD iloperidone: not_in_Leucht2016 → verification_pending</t>
  </si>
  <si>
    <t>clarification</t>
  </si>
  <si>
    <t>CPZ_FGA 전체 note: "secondary-source historical CPZ equivalence as reported in Leucht 2015 Table 2, citing Davis 1974"</t>
  </si>
  <si>
    <t>All CPZ_FGA rows</t>
  </si>
  <si>
    <t>ED95 HAL note 강화: "Not recommended as robust anchor conversion estimate"</t>
  </si>
  <si>
    <t>rename</t>
  </si>
  <si>
    <t>컬럼명 target_ref_mg → target_reference_value (semantic ambiguity 감소)</t>
  </si>
  <si>
    <t>Sheet 2 header</t>
  </si>
  <si>
    <t>policy</t>
  </si>
  <si>
    <t>Direction_Definition: inverse_rounding / validation_tolerance / CPZ_FGA_provenance 추가</t>
  </si>
  <si>
    <t>Direction_Definition</t>
  </si>
  <si>
    <t>Version freeze 선언. 이후 수정 시 v1.1로 업버전 후 Changelog 기록 필수.</t>
  </si>
  <si>
    <t>denominator_description</t>
  </si>
  <si>
    <t>denominator_value</t>
  </si>
  <si>
    <t>notes</t>
  </si>
  <si>
    <t>CPZ reference standard</t>
  </si>
  <si>
    <t>100 mg/day (oral)</t>
  </si>
  <si>
    <t>Convention. Davis 1974 기준. factor = Drug_CPZeq / 100.</t>
  </si>
  <si>
    <t>OLZ MED from fixed-dose RCTs (Leucht 2014)</t>
  </si>
  <si>
    <t>7.5 mg/day</t>
  </si>
  <si>
    <t>논문 Abstract 및 Table 1에 명시. factor = Drug_MED / 7.5.</t>
  </si>
  <si>
    <t>OLZ weighted mean from flexible-dose RCTs (Leucht 2015)</t>
  </si>
  <si>
    <t>추출 불가</t>
  </si>
  <si>
    <t>Leucht 2015 reports olanzapine-equivalent weighted mean dose ratios rather than raw OLZ weighted mean doses. factor는 Drug_weighted_mean / OLZ_weighted_mean의 비율로만 보고됨. 실제 OLZ 평균 용량은 Supplementary에서 확인 필요.</t>
  </si>
  <si>
    <t>OLZ WHO DDD</t>
  </si>
  <si>
    <t>10 mg/day (oral)</t>
  </si>
  <si>
    <t>WHO ATC/DDD Index N05AX08. factor = Drug_DDD_mg / 10.</t>
  </si>
  <si>
    <t>RIS ED95 from dose-response meta-analysis (Leucht 2020)</t>
  </si>
  <si>
    <t>6.3 mg/day</t>
  </si>
  <si>
    <t>논문 Abstract 및 Table 1에 명시. factor = Drug_ED95 / 6.3.</t>
  </si>
  <si>
    <t>inverse_factor</t>
  </si>
  <si>
    <t>inverse_lookup_key</t>
  </si>
  <si>
    <t>치료저항성 대상. 300/7.5=40.000</t>
    <phoneticPr fontId="2" type="noConversion"/>
  </si>
  <si>
    <t>Positive symptoms. 537/6.3=85.238.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</si>
</sst>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20A8-059A-44D0-B32E-EAEDA065FF55}">
  <dimension ref="A1:F20"/>
  <sheetViews>
    <sheetView workbookViewId="0">
      <selection activeCell="D12" sqref="D12"/>
    </sheetView>
  </sheetViews>
  <sheetFormatPr defaultColWidth="21.875" defaultRowHeight="16.899999999999999"/>
  <cols>
    <col min="1" max="1" width="21.5" style="4" bestFit="1" customWidth="1"/>
    <col min="2" max="2" width="61.375" style="1" customWidth="1"/>
    <col min="3" max="3" width="35.5625" style="4" bestFit="1" customWidth="1"/>
    <col min="4" max="16384" width="21.875" style="4"/>
  </cols>
  <sheetData>
    <row r="1" spans="1:6" ht="17.25" thickBot="1">
      <c r="A1" s="27" t="s">
        <v>9</v>
      </c>
      <c r="B1" s="28" t="s">
        <v>10</v>
      </c>
      <c r="C1" s="29" t="s">
        <v>11</v>
      </c>
      <c r="D1" s="2"/>
      <c r="E1" s="2"/>
      <c r="F1" s="2"/>
    </row>
    <row r="2" spans="1:6">
      <c r="A2" s="26" t="s">
        <v>12</v>
      </c>
      <c r="B2" s="21" t="s">
        <v>13</v>
      </c>
      <c r="C2" s="22" t="s">
        <v>14</v>
      </c>
      <c r="D2" s="1"/>
      <c r="E2" s="1"/>
      <c r="F2" s="1"/>
    </row>
    <row r="3" spans="1:6">
      <c r="A3" s="25" t="s">
        <v>15</v>
      </c>
      <c r="B3" s="17" t="s">
        <v>16</v>
      </c>
      <c r="C3" s="18" t="s">
        <v>17</v>
      </c>
      <c r="D3" s="1"/>
      <c r="E3" s="1"/>
      <c r="F3" s="1"/>
    </row>
    <row r="4" spans="1:6">
      <c r="A4" s="25" t="s">
        <v>18</v>
      </c>
      <c r="B4" s="17" t="s">
        <v>26</v>
      </c>
      <c r="C4" s="18">
        <v>0.26700000000000002</v>
      </c>
      <c r="D4" s="1"/>
      <c r="E4" s="1"/>
      <c r="F4" s="1"/>
    </row>
    <row r="5" spans="1:6">
      <c r="A5" s="25" t="s">
        <v>19</v>
      </c>
      <c r="B5" s="17" t="s">
        <v>20</v>
      </c>
      <c r="C5" s="18" t="s">
        <v>27</v>
      </c>
      <c r="D5" s="1"/>
      <c r="E5" s="1"/>
      <c r="F5" s="1"/>
    </row>
    <row r="6" spans="1:6">
      <c r="A6" s="25" t="s">
        <v>28</v>
      </c>
      <c r="B6" s="17" t="s">
        <v>21</v>
      </c>
      <c r="C6" s="18" t="s">
        <v>22</v>
      </c>
      <c r="D6" s="1"/>
      <c r="E6" s="1"/>
      <c r="F6" s="1"/>
    </row>
    <row r="7" spans="1:6">
      <c r="A7" s="9" t="s">
        <v>29</v>
      </c>
      <c r="B7" s="17" t="s">
        <v>23</v>
      </c>
      <c r="C7" s="10" t="s">
        <v>24</v>
      </c>
    </row>
    <row r="8" spans="1:6">
      <c r="A8" s="9" t="s">
        <v>30</v>
      </c>
      <c r="B8" s="17" t="s">
        <v>31</v>
      </c>
      <c r="C8" s="10" t="s">
        <v>32</v>
      </c>
    </row>
    <row r="9" spans="1:6">
      <c r="A9" s="9" t="s">
        <v>33</v>
      </c>
      <c r="B9" s="17" t="s">
        <v>34</v>
      </c>
      <c r="C9" s="10" t="s">
        <v>35</v>
      </c>
    </row>
    <row r="10" spans="1:6">
      <c r="A10" s="9" t="s">
        <v>36</v>
      </c>
      <c r="B10" s="17" t="s">
        <v>37</v>
      </c>
      <c r="C10" s="10" t="s">
        <v>38</v>
      </c>
    </row>
    <row r="11" spans="1:6" ht="33.75">
      <c r="A11" s="9" t="s">
        <v>25</v>
      </c>
      <c r="B11" s="17" t="s">
        <v>39</v>
      </c>
      <c r="C11" s="10" t="s">
        <v>40</v>
      </c>
    </row>
    <row r="12" spans="1:6" ht="50.65">
      <c r="A12" s="9" t="s">
        <v>41</v>
      </c>
      <c r="B12" s="17" t="s">
        <v>42</v>
      </c>
      <c r="C12" s="10" t="s">
        <v>43</v>
      </c>
    </row>
    <row r="13" spans="1:6" ht="33.75">
      <c r="A13" s="9" t="s">
        <v>44</v>
      </c>
      <c r="B13" s="17" t="s">
        <v>45</v>
      </c>
      <c r="C13" s="10" t="s">
        <v>46</v>
      </c>
    </row>
    <row r="14" spans="1:6" ht="50.65">
      <c r="A14" s="9" t="s">
        <v>47</v>
      </c>
      <c r="B14" s="17" t="s">
        <v>48</v>
      </c>
      <c r="C14" s="10" t="s">
        <v>49</v>
      </c>
    </row>
    <row r="15" spans="1:6" ht="50.65">
      <c r="A15" s="9" t="s">
        <v>50</v>
      </c>
      <c r="B15" s="17" t="s">
        <v>51</v>
      </c>
      <c r="C15" s="10" t="s">
        <v>52</v>
      </c>
    </row>
    <row r="16" spans="1:6" ht="67.5">
      <c r="A16" s="9" t="s">
        <v>53</v>
      </c>
      <c r="B16" s="17" t="s">
        <v>54</v>
      </c>
      <c r="C16" s="10" t="s">
        <v>55</v>
      </c>
    </row>
    <row r="17" spans="1:3" ht="50.65">
      <c r="A17" s="9" t="s">
        <v>56</v>
      </c>
      <c r="B17" s="17" t="s">
        <v>57</v>
      </c>
      <c r="C17" s="10" t="s">
        <v>58</v>
      </c>
    </row>
    <row r="18" spans="1:3">
      <c r="A18" s="9" t="s">
        <v>59</v>
      </c>
      <c r="B18" s="17" t="s">
        <v>60</v>
      </c>
      <c r="C18" s="10" t="s">
        <v>61</v>
      </c>
    </row>
    <row r="19" spans="1:3">
      <c r="A19" s="9" t="s">
        <v>62</v>
      </c>
      <c r="B19" s="17" t="e">
        <f>method_id&amp;"_"&amp;source&amp;"_"&amp;target</f>
        <v>#NAME?</v>
      </c>
      <c r="C19" s="10" t="s">
        <v>63</v>
      </c>
    </row>
    <row r="20" spans="1:3" ht="34.15" thickBot="1">
      <c r="A20" s="11" t="s">
        <v>64</v>
      </c>
      <c r="B20" s="19" t="s">
        <v>65</v>
      </c>
      <c r="C20" s="13" t="s">
        <v>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B8E5-B301-4763-80CC-5CACDD2BB244}">
  <dimension ref="A1:J6"/>
  <sheetViews>
    <sheetView topLeftCell="D1" workbookViewId="0">
      <selection activeCell="J9" sqref="J9"/>
    </sheetView>
  </sheetViews>
  <sheetFormatPr defaultRowHeight="16.899999999999999"/>
  <cols>
    <col min="1" max="1" width="10.0625" style="4" bestFit="1" customWidth="1"/>
    <col min="2" max="2" width="31" style="4" bestFit="1" customWidth="1"/>
    <col min="3" max="3" width="53.625" style="1" customWidth="1"/>
    <col min="4" max="4" width="13.4375" style="4" bestFit="1" customWidth="1"/>
    <col min="5" max="5" width="20.375" style="4" bestFit="1" customWidth="1"/>
    <col min="6" max="6" width="18.875" style="1" customWidth="1"/>
    <col min="7" max="7" width="12.6875" style="4" bestFit="1" customWidth="1"/>
    <col min="8" max="8" width="18.0625" style="1" customWidth="1"/>
    <col min="9" max="9" width="14" style="1" customWidth="1"/>
    <col min="10" max="10" width="42.0625" style="1" customWidth="1"/>
    <col min="11" max="16384" width="9" style="4"/>
  </cols>
  <sheetData>
    <row r="1" spans="1:10" ht="17.25" thickBot="1">
      <c r="A1" s="4" t="s">
        <v>3</v>
      </c>
      <c r="B1" s="4" t="s">
        <v>4</v>
      </c>
      <c r="C1" s="1" t="s">
        <v>67</v>
      </c>
      <c r="D1" s="30" t="s">
        <v>68</v>
      </c>
      <c r="E1" s="31" t="s">
        <v>69</v>
      </c>
      <c r="F1" s="28" t="s">
        <v>70</v>
      </c>
      <c r="G1" s="31" t="s">
        <v>71</v>
      </c>
      <c r="H1" s="28" t="s">
        <v>72</v>
      </c>
      <c r="I1" s="28" t="s">
        <v>73</v>
      </c>
      <c r="J1" s="29" t="s">
        <v>74</v>
      </c>
    </row>
    <row r="2" spans="1:10" ht="33.75">
      <c r="A2" s="4" t="s">
        <v>75</v>
      </c>
      <c r="B2" s="4" t="s">
        <v>76</v>
      </c>
      <c r="C2" s="1" t="s">
        <v>77</v>
      </c>
      <c r="D2" s="7" t="s">
        <v>78</v>
      </c>
      <c r="E2" s="6" t="s">
        <v>79</v>
      </c>
      <c r="F2" s="21" t="s">
        <v>80</v>
      </c>
      <c r="G2" s="6">
        <v>4156792</v>
      </c>
      <c r="H2" s="21" t="s">
        <v>81</v>
      </c>
      <c r="I2" s="21" t="s">
        <v>81</v>
      </c>
      <c r="J2" s="22" t="s">
        <v>99</v>
      </c>
    </row>
    <row r="3" spans="1:10" ht="50.65">
      <c r="A3" s="4" t="s">
        <v>1</v>
      </c>
      <c r="B3" s="4" t="s">
        <v>5</v>
      </c>
      <c r="C3" s="1" t="s">
        <v>82</v>
      </c>
      <c r="D3" s="9" t="s">
        <v>14</v>
      </c>
      <c r="E3" s="5" t="s">
        <v>83</v>
      </c>
      <c r="F3" s="17" t="s">
        <v>84</v>
      </c>
      <c r="G3" s="5">
        <v>12823080</v>
      </c>
      <c r="H3" s="17" t="s">
        <v>85</v>
      </c>
      <c r="I3" s="17">
        <v>24493852</v>
      </c>
      <c r="J3" s="18" t="s">
        <v>86</v>
      </c>
    </row>
    <row r="4" spans="1:10" ht="50.65">
      <c r="A4" s="4" t="s">
        <v>2</v>
      </c>
      <c r="B4" s="4" t="s">
        <v>6</v>
      </c>
      <c r="C4" s="1" t="s">
        <v>87</v>
      </c>
      <c r="D4" s="9" t="s">
        <v>14</v>
      </c>
      <c r="E4" s="5" t="s">
        <v>88</v>
      </c>
      <c r="F4" s="17" t="s">
        <v>89</v>
      </c>
      <c r="G4" s="5">
        <v>25841041</v>
      </c>
      <c r="H4" s="17" t="s">
        <v>81</v>
      </c>
      <c r="I4" s="17" t="s">
        <v>81</v>
      </c>
      <c r="J4" s="18" t="s">
        <v>90</v>
      </c>
    </row>
    <row r="5" spans="1:10" ht="50.65">
      <c r="A5" s="4" t="s">
        <v>0</v>
      </c>
      <c r="B5" s="4" t="s">
        <v>7</v>
      </c>
      <c r="C5" s="1" t="s">
        <v>91</v>
      </c>
      <c r="D5" s="9" t="s">
        <v>14</v>
      </c>
      <c r="E5" s="5" t="s">
        <v>92</v>
      </c>
      <c r="F5" s="17" t="s">
        <v>93</v>
      </c>
      <c r="G5" s="5">
        <v>27460622</v>
      </c>
      <c r="H5" s="17" t="s">
        <v>81</v>
      </c>
      <c r="I5" s="17" t="s">
        <v>81</v>
      </c>
      <c r="J5" s="18" t="s">
        <v>100</v>
      </c>
    </row>
    <row r="6" spans="1:10" ht="51" thickBot="1">
      <c r="A6" s="4" t="s">
        <v>8</v>
      </c>
      <c r="B6" s="4" t="s">
        <v>94</v>
      </c>
      <c r="C6" s="1" t="s">
        <v>95</v>
      </c>
      <c r="D6" s="11" t="s">
        <v>17</v>
      </c>
      <c r="E6" s="12" t="s">
        <v>96</v>
      </c>
      <c r="F6" s="19" t="s">
        <v>97</v>
      </c>
      <c r="G6" s="12">
        <v>31838873</v>
      </c>
      <c r="H6" s="19" t="s">
        <v>81</v>
      </c>
      <c r="I6" s="19" t="s">
        <v>81</v>
      </c>
      <c r="J6" s="20" t="s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949D-FC34-461A-BF55-B9CC04CEA2D8}">
  <dimension ref="A1:O65"/>
  <sheetViews>
    <sheetView tabSelected="1" topLeftCell="E45" workbookViewId="0">
      <selection activeCell="I54" sqref="I54"/>
    </sheetView>
  </sheetViews>
  <sheetFormatPr defaultRowHeight="16.899999999999999"/>
  <cols>
    <col min="1" max="1" width="22.75" style="1" customWidth="1"/>
    <col min="2" max="2" width="18.5" style="1" customWidth="1"/>
    <col min="3" max="3" width="21.5" style="1" customWidth="1"/>
    <col min="4" max="4" width="20.0625" style="1" customWidth="1"/>
    <col min="5" max="5" width="14.9375" style="1" customWidth="1"/>
    <col min="6" max="6" width="23" style="1" customWidth="1"/>
    <col min="7" max="7" width="13.375" style="1" customWidth="1"/>
    <col min="8" max="8" width="23.25" style="1" customWidth="1"/>
    <col min="9" max="9" width="41.4375" style="1" customWidth="1"/>
    <col min="10" max="10" width="15.1875" style="1" customWidth="1"/>
    <col min="11" max="11" width="27.25" style="1" customWidth="1"/>
    <col min="12" max="12" width="24.25" style="1" customWidth="1"/>
    <col min="13" max="13" width="20.25" style="1" customWidth="1"/>
    <col min="14" max="15" width="9" style="1"/>
    <col min="16" max="16384" width="9" style="4"/>
  </cols>
  <sheetData>
    <row r="1" spans="1:13" ht="17.25" thickBot="1">
      <c r="A1" s="33" t="s">
        <v>260</v>
      </c>
      <c r="B1" s="23" t="s">
        <v>12</v>
      </c>
      <c r="C1" s="23" t="s">
        <v>15</v>
      </c>
      <c r="D1" s="23" t="s">
        <v>18</v>
      </c>
      <c r="E1" s="23" t="s">
        <v>102</v>
      </c>
      <c r="F1" s="23" t="s">
        <v>41</v>
      </c>
      <c r="G1" s="23" t="s">
        <v>103</v>
      </c>
      <c r="H1" s="23" t="s">
        <v>104</v>
      </c>
      <c r="I1" s="23" t="s">
        <v>105</v>
      </c>
      <c r="J1" s="23" t="s">
        <v>62</v>
      </c>
      <c r="K1" s="37" t="s">
        <v>106</v>
      </c>
      <c r="L1" s="41" t="s">
        <v>353</v>
      </c>
      <c r="M1" s="42" t="s">
        <v>354</v>
      </c>
    </row>
    <row r="2" spans="1:13" ht="50.65">
      <c r="A2" s="26" t="s">
        <v>75</v>
      </c>
      <c r="B2" s="21" t="s">
        <v>78</v>
      </c>
      <c r="C2" s="21" t="s">
        <v>107</v>
      </c>
      <c r="D2" s="21">
        <v>1</v>
      </c>
      <c r="E2" s="21">
        <v>100</v>
      </c>
      <c r="F2" s="21">
        <v>100</v>
      </c>
      <c r="G2" s="21">
        <v>4156792</v>
      </c>
      <c r="H2" s="21" t="s">
        <v>108</v>
      </c>
      <c r="I2" s="21" t="s">
        <v>109</v>
      </c>
      <c r="J2" s="21" t="s">
        <v>110</v>
      </c>
      <c r="K2" s="38" t="s">
        <v>111</v>
      </c>
      <c r="L2" s="43">
        <f>IF(OR(D2="",D2=0),"",ROUND(1/D2,3))</f>
        <v>1</v>
      </c>
      <c r="M2" s="44" t="str">
        <f>IF(D2="","",A2&amp;"_"&amp;C2&amp;"_"&amp;B2)</f>
        <v>CPZ_FGA_chlorpromazine_CPZ</v>
      </c>
    </row>
    <row r="3" spans="1:13" ht="50.65">
      <c r="A3" s="25" t="s">
        <v>75</v>
      </c>
      <c r="B3" s="17" t="s">
        <v>78</v>
      </c>
      <c r="C3" s="17" t="s">
        <v>112</v>
      </c>
      <c r="D3" s="17">
        <v>1.2E-2</v>
      </c>
      <c r="E3" s="17">
        <v>100</v>
      </c>
      <c r="F3" s="17">
        <v>1.2</v>
      </c>
      <c r="G3" s="17">
        <v>4156792</v>
      </c>
      <c r="H3" s="17" t="s">
        <v>113</v>
      </c>
      <c r="I3" s="17" t="s">
        <v>114</v>
      </c>
      <c r="J3" s="17" t="s">
        <v>115</v>
      </c>
      <c r="K3" s="39" t="s">
        <v>111</v>
      </c>
      <c r="L3" s="45">
        <f t="shared" ref="L3:L65" si="0">IF(OR(D3="",D3=0),"",ROUND(1/D3,3))</f>
        <v>83.332999999999998</v>
      </c>
      <c r="M3" s="46" t="str">
        <f t="shared" ref="M3:M65" si="1">IF(D3="","",A3&amp;"_"&amp;C3&amp;"_"&amp;B3)</f>
        <v>CPZ_FGA_fluphenazine_CPZ</v>
      </c>
    </row>
    <row r="4" spans="1:13" ht="84.4">
      <c r="A4" s="25" t="s">
        <v>75</v>
      </c>
      <c r="B4" s="17" t="s">
        <v>78</v>
      </c>
      <c r="C4" s="17" t="s">
        <v>116</v>
      </c>
      <c r="D4" s="17">
        <v>1.6E-2</v>
      </c>
      <c r="E4" s="17">
        <v>100</v>
      </c>
      <c r="F4" s="17">
        <v>1.6</v>
      </c>
      <c r="G4" s="17">
        <v>4156792</v>
      </c>
      <c r="H4" s="17" t="s">
        <v>113</v>
      </c>
      <c r="I4" s="17" t="s">
        <v>257</v>
      </c>
      <c r="J4" s="17" t="s">
        <v>117</v>
      </c>
      <c r="K4" s="39" t="s">
        <v>118</v>
      </c>
      <c r="L4" s="45">
        <f t="shared" si="0"/>
        <v>62.5</v>
      </c>
      <c r="M4" s="46" t="str">
        <f t="shared" si="1"/>
        <v>CPZ_FGA_haloperidol_CPZ</v>
      </c>
    </row>
    <row r="5" spans="1:13" ht="67.5">
      <c r="A5" s="25" t="s">
        <v>75</v>
      </c>
      <c r="B5" s="17" t="s">
        <v>78</v>
      </c>
      <c r="C5" s="17" t="s">
        <v>119</v>
      </c>
      <c r="D5" s="17">
        <v>8.8999999999999996E-2</v>
      </c>
      <c r="E5" s="17">
        <v>100</v>
      </c>
      <c r="F5" s="17">
        <v>8.9</v>
      </c>
      <c r="G5" s="17">
        <v>4156792</v>
      </c>
      <c r="H5" s="17" t="s">
        <v>113</v>
      </c>
      <c r="I5" s="17" t="s">
        <v>120</v>
      </c>
      <c r="J5" s="17" t="s">
        <v>121</v>
      </c>
      <c r="K5" s="39" t="s">
        <v>111</v>
      </c>
      <c r="L5" s="45">
        <f t="shared" si="0"/>
        <v>11.236000000000001</v>
      </c>
      <c r="M5" s="46" t="str">
        <f t="shared" si="1"/>
        <v>CPZ_FGA_perphenazine_CPZ</v>
      </c>
    </row>
    <row r="6" spans="1:13" ht="50.65">
      <c r="A6" s="25" t="s">
        <v>75</v>
      </c>
      <c r="B6" s="17" t="s">
        <v>78</v>
      </c>
      <c r="C6" s="17" t="s">
        <v>122</v>
      </c>
      <c r="D6" s="17">
        <v>0.95299999999999996</v>
      </c>
      <c r="E6" s="17">
        <v>100</v>
      </c>
      <c r="F6" s="17">
        <v>95.3</v>
      </c>
      <c r="G6" s="17">
        <v>4156792</v>
      </c>
      <c r="H6" s="17" t="s">
        <v>113</v>
      </c>
      <c r="I6" s="17" t="s">
        <v>123</v>
      </c>
      <c r="J6" s="17" t="s">
        <v>124</v>
      </c>
      <c r="K6" s="39" t="s">
        <v>111</v>
      </c>
      <c r="L6" s="45">
        <f t="shared" si="0"/>
        <v>1.0489999999999999</v>
      </c>
      <c r="M6" s="46" t="str">
        <f t="shared" si="1"/>
        <v>CPZ_FGA_thioridazine_CPZ</v>
      </c>
    </row>
    <row r="7" spans="1:13" ht="50.65">
      <c r="A7" s="25" t="s">
        <v>75</v>
      </c>
      <c r="B7" s="17" t="s">
        <v>78</v>
      </c>
      <c r="C7" s="17" t="s">
        <v>125</v>
      </c>
      <c r="D7" s="17">
        <v>5.1999999999999998E-2</v>
      </c>
      <c r="E7" s="17">
        <v>100</v>
      </c>
      <c r="F7" s="17">
        <v>5.2</v>
      </c>
      <c r="G7" s="17">
        <v>4156792</v>
      </c>
      <c r="H7" s="17" t="s">
        <v>113</v>
      </c>
      <c r="I7" s="17" t="s">
        <v>126</v>
      </c>
      <c r="J7" s="17" t="s">
        <v>127</v>
      </c>
      <c r="K7" s="39" t="s">
        <v>111</v>
      </c>
      <c r="L7" s="45">
        <f t="shared" si="0"/>
        <v>19.231000000000002</v>
      </c>
      <c r="M7" s="46" t="str">
        <f t="shared" si="1"/>
        <v>CPZ_FGA_thiothixene_CPZ</v>
      </c>
    </row>
    <row r="8" spans="1:13" ht="50.65">
      <c r="A8" s="25" t="s">
        <v>75</v>
      </c>
      <c r="B8" s="17" t="s">
        <v>78</v>
      </c>
      <c r="C8" s="17" t="s">
        <v>128</v>
      </c>
      <c r="D8" s="17">
        <v>2.8000000000000001E-2</v>
      </c>
      <c r="E8" s="17">
        <v>100</v>
      </c>
      <c r="F8" s="17">
        <v>2.8</v>
      </c>
      <c r="G8" s="17">
        <v>4156792</v>
      </c>
      <c r="H8" s="17" t="s">
        <v>113</v>
      </c>
      <c r="I8" s="17" t="s">
        <v>129</v>
      </c>
      <c r="J8" s="17" t="s">
        <v>130</v>
      </c>
      <c r="K8" s="39" t="s">
        <v>111</v>
      </c>
      <c r="L8" s="45">
        <f t="shared" si="0"/>
        <v>35.713999999999999</v>
      </c>
      <c r="M8" s="46" t="str">
        <f t="shared" si="1"/>
        <v>CPZ_FGA_trifluoperazine_CPZ</v>
      </c>
    </row>
    <row r="9" spans="1:13" ht="33.75">
      <c r="A9" s="25" t="s">
        <v>1</v>
      </c>
      <c r="B9" s="17" t="s">
        <v>14</v>
      </c>
      <c r="C9" s="17" t="s">
        <v>131</v>
      </c>
      <c r="D9" s="17"/>
      <c r="E9" s="17">
        <v>7.5</v>
      </c>
      <c r="F9" s="17"/>
      <c r="G9" s="17">
        <v>24493852</v>
      </c>
      <c r="H9" s="17" t="s">
        <v>132</v>
      </c>
      <c r="I9" s="17" t="s">
        <v>133</v>
      </c>
      <c r="J9" s="17" t="s">
        <v>134</v>
      </c>
      <c r="K9" s="39" t="s">
        <v>135</v>
      </c>
      <c r="L9" s="45" t="str">
        <f t="shared" si="0"/>
        <v/>
      </c>
      <c r="M9" s="46" t="str">
        <f t="shared" si="1"/>
        <v/>
      </c>
    </row>
    <row r="10" spans="1:13" ht="33.75">
      <c r="A10" s="25" t="s">
        <v>1</v>
      </c>
      <c r="B10" s="17" t="s">
        <v>14</v>
      </c>
      <c r="C10" s="17" t="s">
        <v>136</v>
      </c>
      <c r="D10" s="17">
        <v>1.333</v>
      </c>
      <c r="E10" s="17">
        <v>7.5</v>
      </c>
      <c r="F10" s="17">
        <v>10</v>
      </c>
      <c r="G10" s="17">
        <v>24493852</v>
      </c>
      <c r="H10" s="17" t="s">
        <v>113</v>
      </c>
      <c r="I10" s="17" t="s">
        <v>137</v>
      </c>
      <c r="J10" s="17" t="s">
        <v>138</v>
      </c>
      <c r="K10" s="39" t="s">
        <v>139</v>
      </c>
      <c r="L10" s="45">
        <f t="shared" si="0"/>
        <v>0.75</v>
      </c>
      <c r="M10" s="46" t="str">
        <f t="shared" si="1"/>
        <v>MED_aripiprazole_OLZ</v>
      </c>
    </row>
    <row r="11" spans="1:13" ht="33.75">
      <c r="A11" s="25" t="s">
        <v>1</v>
      </c>
      <c r="B11" s="17" t="s">
        <v>14</v>
      </c>
      <c r="C11" s="17" t="s">
        <v>140</v>
      </c>
      <c r="D11" s="17">
        <v>1.333</v>
      </c>
      <c r="E11" s="17">
        <v>7.5</v>
      </c>
      <c r="F11" s="17">
        <v>10</v>
      </c>
      <c r="G11" s="17">
        <v>24493852</v>
      </c>
      <c r="H11" s="17" t="s">
        <v>113</v>
      </c>
      <c r="I11" s="17" t="s">
        <v>137</v>
      </c>
      <c r="J11" s="17" t="s">
        <v>141</v>
      </c>
      <c r="K11" s="39" t="s">
        <v>139</v>
      </c>
      <c r="L11" s="45">
        <f t="shared" si="0"/>
        <v>0.75</v>
      </c>
      <c r="M11" s="46" t="str">
        <f t="shared" si="1"/>
        <v>MED_asenapine_OLZ</v>
      </c>
    </row>
    <row r="12" spans="1:13" ht="33.75">
      <c r="A12" s="25" t="s">
        <v>1</v>
      </c>
      <c r="B12" s="17" t="s">
        <v>14</v>
      </c>
      <c r="C12" s="17" t="s">
        <v>142</v>
      </c>
      <c r="D12" s="17">
        <v>40</v>
      </c>
      <c r="E12" s="17">
        <v>7.5</v>
      </c>
      <c r="F12" s="17">
        <v>300</v>
      </c>
      <c r="G12" s="17">
        <v>24493852</v>
      </c>
      <c r="H12" s="17" t="s">
        <v>113</v>
      </c>
      <c r="I12" s="17" t="s">
        <v>355</v>
      </c>
      <c r="J12" s="17" t="s">
        <v>143</v>
      </c>
      <c r="K12" s="39" t="s">
        <v>139</v>
      </c>
      <c r="L12" s="45">
        <f t="shared" si="0"/>
        <v>2.5000000000000001E-2</v>
      </c>
      <c r="M12" s="46" t="str">
        <f t="shared" si="1"/>
        <v>MED_clozapine_OLZ</v>
      </c>
    </row>
    <row r="13" spans="1:13" ht="33.75">
      <c r="A13" s="25" t="s">
        <v>1</v>
      </c>
      <c r="B13" s="17" t="s">
        <v>14</v>
      </c>
      <c r="C13" s="17" t="s">
        <v>116</v>
      </c>
      <c r="D13" s="17">
        <v>0.53300000000000003</v>
      </c>
      <c r="E13" s="17">
        <v>7.5</v>
      </c>
      <c r="F13" s="17">
        <v>4</v>
      </c>
      <c r="G13" s="17">
        <v>24493852</v>
      </c>
      <c r="H13" s="17" t="s">
        <v>113</v>
      </c>
      <c r="I13" s="17" t="s">
        <v>144</v>
      </c>
      <c r="J13" s="17" t="s">
        <v>145</v>
      </c>
      <c r="K13" s="39" t="s">
        <v>139</v>
      </c>
      <c r="L13" s="45">
        <f t="shared" si="0"/>
        <v>1.8759999999999999</v>
      </c>
      <c r="M13" s="46" t="str">
        <f t="shared" si="1"/>
        <v>MED_haloperidol_OLZ</v>
      </c>
    </row>
    <row r="14" spans="1:13" ht="33.75">
      <c r="A14" s="25" t="s">
        <v>1</v>
      </c>
      <c r="B14" s="17" t="s">
        <v>14</v>
      </c>
      <c r="C14" s="17" t="s">
        <v>146</v>
      </c>
      <c r="D14" s="17">
        <v>1.0669999999999999</v>
      </c>
      <c r="E14" s="17">
        <v>7.5</v>
      </c>
      <c r="F14" s="17">
        <v>8</v>
      </c>
      <c r="G14" s="17">
        <v>24493852</v>
      </c>
      <c r="H14" s="17" t="s">
        <v>113</v>
      </c>
      <c r="I14" s="17" t="s">
        <v>147</v>
      </c>
      <c r="J14" s="17" t="s">
        <v>148</v>
      </c>
      <c r="K14" s="39" t="s">
        <v>139</v>
      </c>
      <c r="L14" s="45">
        <f t="shared" si="0"/>
        <v>0.93700000000000006</v>
      </c>
      <c r="M14" s="46" t="str">
        <f t="shared" si="1"/>
        <v>MED_iloperidone_OLZ</v>
      </c>
    </row>
    <row r="15" spans="1:13" ht="33.75">
      <c r="A15" s="25" t="s">
        <v>1</v>
      </c>
      <c r="B15" s="17" t="s">
        <v>14</v>
      </c>
      <c r="C15" s="17" t="s">
        <v>149</v>
      </c>
      <c r="D15" s="17">
        <v>5.3330000000000002</v>
      </c>
      <c r="E15" s="17">
        <v>7.5</v>
      </c>
      <c r="F15" s="17">
        <v>40</v>
      </c>
      <c r="G15" s="17">
        <v>24493852</v>
      </c>
      <c r="H15" s="17" t="s">
        <v>113</v>
      </c>
      <c r="I15" s="17" t="s">
        <v>150</v>
      </c>
      <c r="J15" s="17" t="s">
        <v>151</v>
      </c>
      <c r="K15" s="39" t="s">
        <v>139</v>
      </c>
      <c r="L15" s="45">
        <f t="shared" si="0"/>
        <v>0.188</v>
      </c>
      <c r="M15" s="46" t="str">
        <f t="shared" si="1"/>
        <v>MED_lurasidone_OLZ</v>
      </c>
    </row>
    <row r="16" spans="1:13" ht="33.75">
      <c r="A16" s="25" t="s">
        <v>1</v>
      </c>
      <c r="B16" s="17" t="s">
        <v>14</v>
      </c>
      <c r="C16" s="17" t="s">
        <v>152</v>
      </c>
      <c r="D16" s="17">
        <v>1</v>
      </c>
      <c r="E16" s="17">
        <v>7.5</v>
      </c>
      <c r="F16" s="17">
        <v>7.5</v>
      </c>
      <c r="G16" s="17">
        <v>24493852</v>
      </c>
      <c r="H16" s="17" t="s">
        <v>108</v>
      </c>
      <c r="I16" s="17" t="s">
        <v>153</v>
      </c>
      <c r="J16" s="17" t="s">
        <v>154</v>
      </c>
      <c r="K16" s="39" t="s">
        <v>139</v>
      </c>
      <c r="L16" s="45">
        <f t="shared" si="0"/>
        <v>1</v>
      </c>
      <c r="M16" s="46" t="str">
        <f t="shared" si="1"/>
        <v>MED_olanzapine_OLZ</v>
      </c>
    </row>
    <row r="17" spans="1:13" ht="33.75">
      <c r="A17" s="25" t="s">
        <v>1</v>
      </c>
      <c r="B17" s="17" t="s">
        <v>14</v>
      </c>
      <c r="C17" s="17" t="s">
        <v>155</v>
      </c>
      <c r="D17" s="17">
        <v>0.4</v>
      </c>
      <c r="E17" s="17">
        <v>7.5</v>
      </c>
      <c r="F17" s="17">
        <v>3</v>
      </c>
      <c r="G17" s="17">
        <v>24493852</v>
      </c>
      <c r="H17" s="17" t="s">
        <v>113</v>
      </c>
      <c r="I17" s="17" t="s">
        <v>156</v>
      </c>
      <c r="J17" s="17" t="s">
        <v>157</v>
      </c>
      <c r="K17" s="39" t="s">
        <v>139</v>
      </c>
      <c r="L17" s="45">
        <f t="shared" si="0"/>
        <v>2.5</v>
      </c>
      <c r="M17" s="46" t="str">
        <f t="shared" si="1"/>
        <v>MED_paliperidone_OLZ</v>
      </c>
    </row>
    <row r="18" spans="1:13" ht="33.75">
      <c r="A18" s="25" t="s">
        <v>1</v>
      </c>
      <c r="B18" s="17" t="s">
        <v>14</v>
      </c>
      <c r="C18" s="17" t="s">
        <v>158</v>
      </c>
      <c r="D18" s="17">
        <v>20</v>
      </c>
      <c r="E18" s="17">
        <v>7.5</v>
      </c>
      <c r="F18" s="17">
        <v>150</v>
      </c>
      <c r="G18" s="17">
        <v>24493852</v>
      </c>
      <c r="H18" s="17" t="s">
        <v>113</v>
      </c>
      <c r="I18" s="17" t="s">
        <v>159</v>
      </c>
      <c r="J18" s="17" t="s">
        <v>160</v>
      </c>
      <c r="K18" s="39" t="s">
        <v>139</v>
      </c>
      <c r="L18" s="45">
        <f t="shared" si="0"/>
        <v>0.05</v>
      </c>
      <c r="M18" s="46" t="str">
        <f t="shared" si="1"/>
        <v>MED_quetiapine_OLZ</v>
      </c>
    </row>
    <row r="19" spans="1:13" ht="33.75">
      <c r="A19" s="25" t="s">
        <v>1</v>
      </c>
      <c r="B19" s="17" t="s">
        <v>14</v>
      </c>
      <c r="C19" s="17" t="s">
        <v>161</v>
      </c>
      <c r="D19" s="17">
        <v>0.26700000000000002</v>
      </c>
      <c r="E19" s="17">
        <v>7.5</v>
      </c>
      <c r="F19" s="17">
        <v>2</v>
      </c>
      <c r="G19" s="17">
        <v>24493852</v>
      </c>
      <c r="H19" s="17" t="s">
        <v>113</v>
      </c>
      <c r="I19" s="17" t="s">
        <v>162</v>
      </c>
      <c r="J19" s="17" t="s">
        <v>63</v>
      </c>
      <c r="K19" s="39" t="s">
        <v>139</v>
      </c>
      <c r="L19" s="45">
        <f t="shared" si="0"/>
        <v>3.7450000000000001</v>
      </c>
      <c r="M19" s="46" t="str">
        <f t="shared" si="1"/>
        <v>MED_risperidone_OLZ</v>
      </c>
    </row>
    <row r="20" spans="1:13" ht="33.75">
      <c r="A20" s="25" t="s">
        <v>1</v>
      </c>
      <c r="B20" s="17" t="s">
        <v>14</v>
      </c>
      <c r="C20" s="17" t="s">
        <v>163</v>
      </c>
      <c r="D20" s="17">
        <v>1.6</v>
      </c>
      <c r="E20" s="17">
        <v>7.5</v>
      </c>
      <c r="F20" s="17">
        <v>12</v>
      </c>
      <c r="G20" s="17">
        <v>24493852</v>
      </c>
      <c r="H20" s="17" t="s">
        <v>113</v>
      </c>
      <c r="I20" s="17" t="s">
        <v>164</v>
      </c>
      <c r="J20" s="17" t="s">
        <v>165</v>
      </c>
      <c r="K20" s="39" t="s">
        <v>139</v>
      </c>
      <c r="L20" s="45">
        <f t="shared" si="0"/>
        <v>0.625</v>
      </c>
      <c r="M20" s="46" t="str">
        <f t="shared" si="1"/>
        <v>MED_sertindole_OLZ</v>
      </c>
    </row>
    <row r="21" spans="1:13" ht="33.75">
      <c r="A21" s="25" t="s">
        <v>1</v>
      </c>
      <c r="B21" s="17" t="s">
        <v>14</v>
      </c>
      <c r="C21" s="17" t="s">
        <v>166</v>
      </c>
      <c r="D21" s="17">
        <v>5.3330000000000002</v>
      </c>
      <c r="E21" s="17">
        <v>7.5</v>
      </c>
      <c r="F21" s="17">
        <v>40</v>
      </c>
      <c r="G21" s="17">
        <v>24493852</v>
      </c>
      <c r="H21" s="17" t="s">
        <v>113</v>
      </c>
      <c r="I21" s="17" t="s">
        <v>150</v>
      </c>
      <c r="J21" s="17" t="s">
        <v>167</v>
      </c>
      <c r="K21" s="39" t="s">
        <v>139</v>
      </c>
      <c r="L21" s="45">
        <f t="shared" si="0"/>
        <v>0.188</v>
      </c>
      <c r="M21" s="46" t="str">
        <f t="shared" si="1"/>
        <v>MED_ziprasidone_OLZ</v>
      </c>
    </row>
    <row r="22" spans="1:13" ht="33.75">
      <c r="A22" s="25" t="s">
        <v>1</v>
      </c>
      <c r="B22" s="17" t="s">
        <v>14</v>
      </c>
      <c r="C22" s="17" t="s">
        <v>168</v>
      </c>
      <c r="D22" s="17"/>
      <c r="E22" s="17">
        <v>7.5</v>
      </c>
      <c r="F22" s="17"/>
      <c r="G22" s="17">
        <v>24493852</v>
      </c>
      <c r="H22" s="17" t="s">
        <v>132</v>
      </c>
      <c r="I22" s="17" t="s">
        <v>133</v>
      </c>
      <c r="J22" s="17" t="s">
        <v>169</v>
      </c>
      <c r="K22" s="39" t="s">
        <v>135</v>
      </c>
      <c r="L22" s="45" t="str">
        <f t="shared" si="0"/>
        <v/>
      </c>
      <c r="M22" s="46" t="str">
        <f t="shared" si="1"/>
        <v/>
      </c>
    </row>
    <row r="23" spans="1:13" ht="50.65">
      <c r="A23" s="25" t="s">
        <v>2</v>
      </c>
      <c r="B23" s="17" t="s">
        <v>14</v>
      </c>
      <c r="C23" s="17" t="s">
        <v>131</v>
      </c>
      <c r="D23" s="17">
        <v>38.299999999999997</v>
      </c>
      <c r="E23" s="17"/>
      <c r="F23" s="17">
        <v>38.299999999999997</v>
      </c>
      <c r="G23" s="17">
        <v>25841041</v>
      </c>
      <c r="H23" s="17" t="s">
        <v>113</v>
      </c>
      <c r="I23" s="17" t="s">
        <v>170</v>
      </c>
      <c r="J23" s="17" t="s">
        <v>171</v>
      </c>
      <c r="K23" s="39" t="s">
        <v>172</v>
      </c>
      <c r="L23" s="45">
        <f t="shared" si="0"/>
        <v>2.5999999999999999E-2</v>
      </c>
      <c r="M23" s="46" t="str">
        <f t="shared" si="1"/>
        <v>CMD_amisulpride_OLZ</v>
      </c>
    </row>
    <row r="24" spans="1:13" ht="33.75">
      <c r="A24" s="25" t="s">
        <v>2</v>
      </c>
      <c r="B24" s="17" t="s">
        <v>14</v>
      </c>
      <c r="C24" s="17" t="s">
        <v>136</v>
      </c>
      <c r="D24" s="17">
        <v>1.4</v>
      </c>
      <c r="E24" s="17"/>
      <c r="F24" s="17">
        <v>1.4</v>
      </c>
      <c r="G24" s="17">
        <v>25841041</v>
      </c>
      <c r="H24" s="17" t="s">
        <v>113</v>
      </c>
      <c r="I24" s="17" t="s">
        <v>173</v>
      </c>
      <c r="J24" s="17" t="s">
        <v>174</v>
      </c>
      <c r="K24" s="39" t="s">
        <v>172</v>
      </c>
      <c r="L24" s="45">
        <f t="shared" si="0"/>
        <v>0.71399999999999997</v>
      </c>
      <c r="M24" s="46" t="str">
        <f t="shared" si="1"/>
        <v>CMD_aripiprazole_OLZ</v>
      </c>
    </row>
    <row r="25" spans="1:13" ht="33.75">
      <c r="A25" s="25" t="s">
        <v>2</v>
      </c>
      <c r="B25" s="17" t="s">
        <v>14</v>
      </c>
      <c r="C25" s="17" t="s">
        <v>140</v>
      </c>
      <c r="D25" s="17">
        <v>0.9</v>
      </c>
      <c r="E25" s="17"/>
      <c r="F25" s="17">
        <v>0.9</v>
      </c>
      <c r="G25" s="17">
        <v>25841041</v>
      </c>
      <c r="H25" s="17" t="s">
        <v>113</v>
      </c>
      <c r="I25" s="17" t="s">
        <v>173</v>
      </c>
      <c r="J25" s="17" t="s">
        <v>175</v>
      </c>
      <c r="K25" s="39" t="s">
        <v>172</v>
      </c>
      <c r="L25" s="45">
        <f t="shared" si="0"/>
        <v>1.111</v>
      </c>
      <c r="M25" s="46" t="str">
        <f t="shared" si="1"/>
        <v>CMD_asenapine_OLZ</v>
      </c>
    </row>
    <row r="26" spans="1:13" ht="50.65">
      <c r="A26" s="25" t="s">
        <v>2</v>
      </c>
      <c r="B26" s="17" t="s">
        <v>14</v>
      </c>
      <c r="C26" s="17" t="s">
        <v>107</v>
      </c>
      <c r="D26" s="17">
        <v>38.9</v>
      </c>
      <c r="E26" s="17"/>
      <c r="F26" s="17">
        <v>38.9</v>
      </c>
      <c r="G26" s="17">
        <v>25841041</v>
      </c>
      <c r="H26" s="17" t="s">
        <v>113</v>
      </c>
      <c r="I26" s="17" t="s">
        <v>176</v>
      </c>
      <c r="J26" s="17" t="s">
        <v>177</v>
      </c>
      <c r="K26" s="39" t="s">
        <v>172</v>
      </c>
      <c r="L26" s="45">
        <f t="shared" si="0"/>
        <v>2.5999999999999999E-2</v>
      </c>
      <c r="M26" s="46" t="str">
        <f t="shared" si="1"/>
        <v>CMD_chlorpromazine_OLZ</v>
      </c>
    </row>
    <row r="27" spans="1:13" ht="33.75">
      <c r="A27" s="25" t="s">
        <v>2</v>
      </c>
      <c r="B27" s="17" t="s">
        <v>14</v>
      </c>
      <c r="C27" s="17" t="s">
        <v>142</v>
      </c>
      <c r="D27" s="17">
        <v>30.6</v>
      </c>
      <c r="E27" s="17"/>
      <c r="F27" s="17">
        <v>30.6</v>
      </c>
      <c r="G27" s="17">
        <v>25841041</v>
      </c>
      <c r="H27" s="17" t="s">
        <v>113</v>
      </c>
      <c r="I27" s="17" t="s">
        <v>258</v>
      </c>
      <c r="J27" s="17" t="s">
        <v>178</v>
      </c>
      <c r="K27" s="39" t="s">
        <v>172</v>
      </c>
      <c r="L27" s="45">
        <f t="shared" si="0"/>
        <v>3.3000000000000002E-2</v>
      </c>
      <c r="M27" s="46" t="str">
        <f t="shared" si="1"/>
        <v>CMD_clozapine_OLZ</v>
      </c>
    </row>
    <row r="28" spans="1:13" ht="33.75">
      <c r="A28" s="25" t="s">
        <v>2</v>
      </c>
      <c r="B28" s="17" t="s">
        <v>14</v>
      </c>
      <c r="C28" s="17" t="s">
        <v>116</v>
      </c>
      <c r="D28" s="17">
        <v>0.7</v>
      </c>
      <c r="E28" s="17"/>
      <c r="F28" s="17">
        <v>0.7</v>
      </c>
      <c r="G28" s="17">
        <v>25841041</v>
      </c>
      <c r="H28" s="17" t="s">
        <v>113</v>
      </c>
      <c r="I28" s="17" t="s">
        <v>173</v>
      </c>
      <c r="J28" s="17" t="s">
        <v>179</v>
      </c>
      <c r="K28" s="39" t="s">
        <v>172</v>
      </c>
      <c r="L28" s="45">
        <f t="shared" si="0"/>
        <v>1.429</v>
      </c>
      <c r="M28" s="46" t="str">
        <f t="shared" si="1"/>
        <v>CMD_haloperidol_OLZ</v>
      </c>
    </row>
    <row r="29" spans="1:13" ht="33.75">
      <c r="A29" s="25" t="s">
        <v>2</v>
      </c>
      <c r="B29" s="17" t="s">
        <v>14</v>
      </c>
      <c r="C29" s="17" t="s">
        <v>146</v>
      </c>
      <c r="D29" s="17"/>
      <c r="E29" s="17"/>
      <c r="F29" s="17">
        <v>25841041</v>
      </c>
      <c r="H29" s="17" t="s">
        <v>180</v>
      </c>
      <c r="I29" s="17" t="s">
        <v>181</v>
      </c>
      <c r="J29" s="17" t="s">
        <v>182</v>
      </c>
      <c r="K29" s="17" t="s">
        <v>183</v>
      </c>
      <c r="L29" s="45" t="str">
        <f t="shared" si="0"/>
        <v/>
      </c>
      <c r="M29" s="46" t="str">
        <f t="shared" si="1"/>
        <v/>
      </c>
    </row>
    <row r="30" spans="1:13" ht="33.75">
      <c r="A30" s="25" t="s">
        <v>2</v>
      </c>
      <c r="B30" s="17" t="s">
        <v>14</v>
      </c>
      <c r="C30" s="17" t="s">
        <v>149</v>
      </c>
      <c r="D30" s="17"/>
      <c r="E30" s="17"/>
      <c r="F30" s="17">
        <v>25841041</v>
      </c>
      <c r="H30" s="17" t="s">
        <v>180</v>
      </c>
      <c r="I30" s="17" t="s">
        <v>181</v>
      </c>
      <c r="J30" s="17" t="s">
        <v>184</v>
      </c>
      <c r="K30" s="17" t="s">
        <v>183</v>
      </c>
      <c r="L30" s="45" t="str">
        <f t="shared" si="0"/>
        <v/>
      </c>
      <c r="M30" s="46" t="str">
        <f t="shared" si="1"/>
        <v/>
      </c>
    </row>
    <row r="31" spans="1:13" ht="33.75">
      <c r="A31" s="25" t="s">
        <v>2</v>
      </c>
      <c r="B31" s="17" t="s">
        <v>14</v>
      </c>
      <c r="C31" s="17" t="s">
        <v>152</v>
      </c>
      <c r="D31" s="17">
        <v>1</v>
      </c>
      <c r="E31" s="17"/>
      <c r="F31" s="17">
        <v>1</v>
      </c>
      <c r="G31" s="17">
        <v>25841041</v>
      </c>
      <c r="H31" s="17" t="s">
        <v>108</v>
      </c>
      <c r="I31" s="17" t="s">
        <v>185</v>
      </c>
      <c r="J31" s="17" t="s">
        <v>186</v>
      </c>
      <c r="K31" s="39" t="s">
        <v>172</v>
      </c>
      <c r="L31" s="45">
        <f t="shared" si="0"/>
        <v>1</v>
      </c>
      <c r="M31" s="46" t="str">
        <f t="shared" si="1"/>
        <v>CMD_olanzapine_OLZ</v>
      </c>
    </row>
    <row r="32" spans="1:13" ht="33.75">
      <c r="A32" s="25" t="s">
        <v>2</v>
      </c>
      <c r="B32" s="17" t="s">
        <v>14</v>
      </c>
      <c r="C32" s="17" t="s">
        <v>155</v>
      </c>
      <c r="D32" s="17"/>
      <c r="E32" s="17"/>
      <c r="F32" s="17">
        <v>25841041</v>
      </c>
      <c r="H32" s="17" t="s">
        <v>180</v>
      </c>
      <c r="I32" s="17" t="s">
        <v>181</v>
      </c>
      <c r="J32" s="17" t="s">
        <v>187</v>
      </c>
      <c r="K32" s="17" t="s">
        <v>183</v>
      </c>
      <c r="L32" s="45" t="str">
        <f t="shared" si="0"/>
        <v/>
      </c>
      <c r="M32" s="46" t="str">
        <f t="shared" si="1"/>
        <v/>
      </c>
    </row>
    <row r="33" spans="1:13" ht="33.75">
      <c r="A33" s="25" t="s">
        <v>2</v>
      </c>
      <c r="B33" s="17" t="s">
        <v>14</v>
      </c>
      <c r="C33" s="17" t="s">
        <v>158</v>
      </c>
      <c r="D33" s="17">
        <v>32.299999999999997</v>
      </c>
      <c r="E33" s="17"/>
      <c r="F33" s="17">
        <v>32.299999999999997</v>
      </c>
      <c r="G33" s="17">
        <v>25841041</v>
      </c>
      <c r="H33" s="17" t="s">
        <v>113</v>
      </c>
      <c r="I33" s="17" t="s">
        <v>173</v>
      </c>
      <c r="J33" s="17" t="s">
        <v>188</v>
      </c>
      <c r="K33" s="39" t="s">
        <v>172</v>
      </c>
      <c r="L33" s="45">
        <f t="shared" si="0"/>
        <v>3.1E-2</v>
      </c>
      <c r="M33" s="46" t="str">
        <f t="shared" si="1"/>
        <v>CMD_quetiapine_OLZ</v>
      </c>
    </row>
    <row r="34" spans="1:13" ht="33.75">
      <c r="A34" s="25" t="s">
        <v>2</v>
      </c>
      <c r="B34" s="17" t="s">
        <v>14</v>
      </c>
      <c r="C34" s="17" t="s">
        <v>161</v>
      </c>
      <c r="D34" s="17">
        <v>0.4</v>
      </c>
      <c r="E34" s="17"/>
      <c r="F34" s="17">
        <v>0.4</v>
      </c>
      <c r="G34" s="17">
        <v>25841041</v>
      </c>
      <c r="H34" s="17" t="s">
        <v>113</v>
      </c>
      <c r="I34" s="17" t="s">
        <v>173</v>
      </c>
      <c r="J34" s="17" t="s">
        <v>189</v>
      </c>
      <c r="K34" s="39" t="s">
        <v>172</v>
      </c>
      <c r="L34" s="45">
        <f t="shared" si="0"/>
        <v>2.5</v>
      </c>
      <c r="M34" s="46" t="str">
        <f t="shared" si="1"/>
        <v>CMD_risperidone_OLZ</v>
      </c>
    </row>
    <row r="35" spans="1:13" ht="33.75">
      <c r="A35" s="25" t="s">
        <v>2</v>
      </c>
      <c r="B35" s="17" t="s">
        <v>14</v>
      </c>
      <c r="C35" s="17" t="s">
        <v>163</v>
      </c>
      <c r="D35" s="17">
        <v>1.1000000000000001</v>
      </c>
      <c r="E35" s="17"/>
      <c r="F35" s="17">
        <v>1.1000000000000001</v>
      </c>
      <c r="G35" s="17">
        <v>25841041</v>
      </c>
      <c r="H35" s="17" t="s">
        <v>113</v>
      </c>
      <c r="I35" s="17" t="s">
        <v>173</v>
      </c>
      <c r="J35" s="17" t="s">
        <v>190</v>
      </c>
      <c r="K35" s="39" t="s">
        <v>172</v>
      </c>
      <c r="L35" s="45">
        <f t="shared" si="0"/>
        <v>0.90900000000000003</v>
      </c>
      <c r="M35" s="46" t="str">
        <f t="shared" si="1"/>
        <v>CMD_sertindole_OLZ</v>
      </c>
    </row>
    <row r="36" spans="1:13" ht="33.75">
      <c r="A36" s="25" t="s">
        <v>2</v>
      </c>
      <c r="B36" s="17" t="s">
        <v>14</v>
      </c>
      <c r="C36" s="17" t="s">
        <v>166</v>
      </c>
      <c r="D36" s="17">
        <v>7.9</v>
      </c>
      <c r="E36" s="17"/>
      <c r="F36" s="17">
        <v>7.9</v>
      </c>
      <c r="G36" s="17">
        <v>25841041</v>
      </c>
      <c r="H36" s="17" t="s">
        <v>113</v>
      </c>
      <c r="I36" s="17" t="s">
        <v>173</v>
      </c>
      <c r="J36" s="17" t="s">
        <v>191</v>
      </c>
      <c r="K36" s="39" t="s">
        <v>172</v>
      </c>
      <c r="L36" s="45">
        <f t="shared" si="0"/>
        <v>0.127</v>
      </c>
      <c r="M36" s="46" t="str">
        <f t="shared" si="1"/>
        <v>CMD_ziprasidone_OLZ</v>
      </c>
    </row>
    <row r="37" spans="1:13" ht="33.75">
      <c r="A37" s="25" t="s">
        <v>2</v>
      </c>
      <c r="B37" s="17" t="s">
        <v>14</v>
      </c>
      <c r="C37" s="17" t="s">
        <v>168</v>
      </c>
      <c r="D37" s="17">
        <v>13.2</v>
      </c>
      <c r="E37" s="17"/>
      <c r="F37" s="17">
        <v>13.2</v>
      </c>
      <c r="G37" s="17">
        <v>25841041</v>
      </c>
      <c r="H37" s="17" t="s">
        <v>113</v>
      </c>
      <c r="I37" s="17" t="s">
        <v>173</v>
      </c>
      <c r="J37" s="17" t="s">
        <v>192</v>
      </c>
      <c r="K37" s="39" t="s">
        <v>172</v>
      </c>
      <c r="L37" s="45">
        <f t="shared" si="0"/>
        <v>7.5999999999999998E-2</v>
      </c>
      <c r="M37" s="46" t="str">
        <f t="shared" si="1"/>
        <v>CMD_zotepine_OLZ</v>
      </c>
    </row>
    <row r="38" spans="1:13" ht="33.75">
      <c r="A38" s="25" t="s">
        <v>0</v>
      </c>
      <c r="B38" s="17" t="s">
        <v>14</v>
      </c>
      <c r="C38" s="17" t="s">
        <v>131</v>
      </c>
      <c r="D38" s="17">
        <v>40</v>
      </c>
      <c r="E38" s="17">
        <v>10</v>
      </c>
      <c r="F38" s="17">
        <v>400</v>
      </c>
      <c r="G38" s="17">
        <v>27460622</v>
      </c>
      <c r="H38" s="17" t="s">
        <v>113</v>
      </c>
      <c r="I38" s="17" t="s">
        <v>193</v>
      </c>
      <c r="J38" s="17" t="s">
        <v>194</v>
      </c>
      <c r="K38" s="39" t="s">
        <v>195</v>
      </c>
      <c r="L38" s="45">
        <f t="shared" si="0"/>
        <v>2.5000000000000001E-2</v>
      </c>
      <c r="M38" s="46" t="str">
        <f t="shared" si="1"/>
        <v>DDD_amisulpride_OLZ</v>
      </c>
    </row>
    <row r="39" spans="1:13" ht="33.75">
      <c r="A39" s="25" t="s">
        <v>0</v>
      </c>
      <c r="B39" s="17" t="s">
        <v>14</v>
      </c>
      <c r="C39" s="17" t="s">
        <v>136</v>
      </c>
      <c r="D39" s="17">
        <v>1.5</v>
      </c>
      <c r="E39" s="17">
        <v>10</v>
      </c>
      <c r="F39" s="17">
        <v>15</v>
      </c>
      <c r="G39" s="17">
        <v>27460622</v>
      </c>
      <c r="H39" s="17" t="s">
        <v>113</v>
      </c>
      <c r="I39" s="17" t="s">
        <v>196</v>
      </c>
      <c r="J39" s="17" t="s">
        <v>197</v>
      </c>
      <c r="K39" s="39" t="s">
        <v>195</v>
      </c>
      <c r="L39" s="45">
        <f t="shared" si="0"/>
        <v>0.66700000000000004</v>
      </c>
      <c r="M39" s="46" t="str">
        <f t="shared" si="1"/>
        <v>DDD_aripiprazole_OLZ</v>
      </c>
    </row>
    <row r="40" spans="1:13" ht="33.75">
      <c r="A40" s="25" t="s">
        <v>0</v>
      </c>
      <c r="B40" s="17" t="s">
        <v>14</v>
      </c>
      <c r="C40" s="17" t="s">
        <v>140</v>
      </c>
      <c r="D40" s="17">
        <v>2</v>
      </c>
      <c r="E40" s="17">
        <v>10</v>
      </c>
      <c r="F40" s="17">
        <v>20</v>
      </c>
      <c r="G40" s="17">
        <v>27460622</v>
      </c>
      <c r="H40" s="17" t="s">
        <v>113</v>
      </c>
      <c r="I40" s="17" t="s">
        <v>198</v>
      </c>
      <c r="J40" s="17" t="s">
        <v>199</v>
      </c>
      <c r="K40" s="39" t="s">
        <v>195</v>
      </c>
      <c r="L40" s="45">
        <f t="shared" si="0"/>
        <v>0.5</v>
      </c>
      <c r="M40" s="46" t="str">
        <f t="shared" si="1"/>
        <v>DDD_asenapine_OLZ</v>
      </c>
    </row>
    <row r="41" spans="1:13" ht="33.75">
      <c r="A41" s="25" t="s">
        <v>0</v>
      </c>
      <c r="B41" s="17" t="s">
        <v>14</v>
      </c>
      <c r="C41" s="17" t="s">
        <v>107</v>
      </c>
      <c r="D41" s="17">
        <v>30</v>
      </c>
      <c r="E41" s="17">
        <v>10</v>
      </c>
      <c r="F41" s="17">
        <v>300</v>
      </c>
      <c r="G41" s="17">
        <v>27460622</v>
      </c>
      <c r="H41" s="17" t="s">
        <v>113</v>
      </c>
      <c r="I41" s="17" t="s">
        <v>200</v>
      </c>
      <c r="J41" s="17" t="s">
        <v>201</v>
      </c>
      <c r="K41" s="39" t="s">
        <v>195</v>
      </c>
      <c r="L41" s="45">
        <f t="shared" si="0"/>
        <v>3.3000000000000002E-2</v>
      </c>
      <c r="M41" s="46" t="str">
        <f t="shared" si="1"/>
        <v>DDD_chlorpromazine_OLZ</v>
      </c>
    </row>
    <row r="42" spans="1:13" ht="33.75">
      <c r="A42" s="25" t="s">
        <v>0</v>
      </c>
      <c r="B42" s="17" t="s">
        <v>14</v>
      </c>
      <c r="C42" s="17" t="s">
        <v>142</v>
      </c>
      <c r="D42" s="17">
        <v>30</v>
      </c>
      <c r="E42" s="17">
        <v>10</v>
      </c>
      <c r="F42" s="17">
        <v>300</v>
      </c>
      <c r="G42" s="17">
        <v>27460622</v>
      </c>
      <c r="H42" s="17" t="s">
        <v>113</v>
      </c>
      <c r="I42" s="17" t="s">
        <v>202</v>
      </c>
      <c r="J42" s="17" t="s">
        <v>203</v>
      </c>
      <c r="K42" s="39" t="s">
        <v>195</v>
      </c>
      <c r="L42" s="45">
        <f t="shared" si="0"/>
        <v>3.3000000000000002E-2</v>
      </c>
      <c r="M42" s="46" t="str">
        <f t="shared" si="1"/>
        <v>DDD_clozapine_OLZ</v>
      </c>
    </row>
    <row r="43" spans="1:13" ht="33.75">
      <c r="A43" s="25" t="s">
        <v>0</v>
      </c>
      <c r="B43" s="17" t="s">
        <v>14</v>
      </c>
      <c r="C43" s="17" t="s">
        <v>116</v>
      </c>
      <c r="D43" s="17">
        <v>0.8</v>
      </c>
      <c r="E43" s="17">
        <v>10</v>
      </c>
      <c r="F43" s="17">
        <v>8</v>
      </c>
      <c r="G43" s="17">
        <v>27460622</v>
      </c>
      <c r="H43" s="17" t="s">
        <v>113</v>
      </c>
      <c r="I43" s="17" t="s">
        <v>204</v>
      </c>
      <c r="J43" s="17" t="s">
        <v>205</v>
      </c>
      <c r="K43" s="39" t="s">
        <v>195</v>
      </c>
      <c r="L43" s="45">
        <f t="shared" si="0"/>
        <v>1.25</v>
      </c>
      <c r="M43" s="46" t="str">
        <f t="shared" si="1"/>
        <v>DDD_haloperidol_OLZ</v>
      </c>
    </row>
    <row r="44" spans="1:13" ht="33.75">
      <c r="A44" s="25" t="s">
        <v>0</v>
      </c>
      <c r="B44" s="17" t="s">
        <v>14</v>
      </c>
      <c r="C44" s="17" t="s">
        <v>146</v>
      </c>
      <c r="D44" s="17"/>
      <c r="E44" s="17"/>
      <c r="F44" s="17">
        <v>27460622</v>
      </c>
      <c r="H44" s="17" t="s">
        <v>206</v>
      </c>
      <c r="I44" s="17" t="s">
        <v>207</v>
      </c>
      <c r="J44" s="17" t="s">
        <v>208</v>
      </c>
      <c r="K44" s="17" t="s">
        <v>209</v>
      </c>
      <c r="L44" s="45" t="str">
        <f t="shared" si="0"/>
        <v/>
      </c>
      <c r="M44" s="46" t="str">
        <f t="shared" si="1"/>
        <v/>
      </c>
    </row>
    <row r="45" spans="1:13" ht="33.75">
      <c r="A45" s="25" t="s">
        <v>0</v>
      </c>
      <c r="B45" s="17" t="s">
        <v>14</v>
      </c>
      <c r="C45" s="17" t="s">
        <v>149</v>
      </c>
      <c r="D45" s="17">
        <v>8</v>
      </c>
      <c r="E45" s="17">
        <v>10</v>
      </c>
      <c r="F45" s="17">
        <v>80</v>
      </c>
      <c r="G45" s="17">
        <v>27460622</v>
      </c>
      <c r="H45" s="17" t="s">
        <v>113</v>
      </c>
      <c r="I45" s="17" t="s">
        <v>210</v>
      </c>
      <c r="J45" s="17" t="s">
        <v>211</v>
      </c>
      <c r="K45" s="39" t="s">
        <v>195</v>
      </c>
      <c r="L45" s="45">
        <f t="shared" si="0"/>
        <v>0.125</v>
      </c>
      <c r="M45" s="46" t="str">
        <f t="shared" si="1"/>
        <v>DDD_lurasidone_OLZ</v>
      </c>
    </row>
    <row r="46" spans="1:13" ht="33.75">
      <c r="A46" s="25" t="s">
        <v>0</v>
      </c>
      <c r="B46" s="17" t="s">
        <v>14</v>
      </c>
      <c r="C46" s="17" t="s">
        <v>152</v>
      </c>
      <c r="D46" s="17">
        <v>1</v>
      </c>
      <c r="E46" s="17">
        <v>10</v>
      </c>
      <c r="F46" s="17">
        <v>10</v>
      </c>
      <c r="G46" s="17">
        <v>27460622</v>
      </c>
      <c r="H46" s="17" t="s">
        <v>108</v>
      </c>
      <c r="I46" s="17" t="s">
        <v>212</v>
      </c>
      <c r="J46" s="17" t="s">
        <v>213</v>
      </c>
      <c r="K46" s="39" t="s">
        <v>195</v>
      </c>
      <c r="L46" s="45">
        <f t="shared" si="0"/>
        <v>1</v>
      </c>
      <c r="M46" s="46" t="str">
        <f t="shared" si="1"/>
        <v>DDD_olanzapine_OLZ</v>
      </c>
    </row>
    <row r="47" spans="1:13" ht="33.75">
      <c r="A47" s="25" t="s">
        <v>0</v>
      </c>
      <c r="B47" s="17" t="s">
        <v>14</v>
      </c>
      <c r="C47" s="17" t="s">
        <v>155</v>
      </c>
      <c r="D47" s="17">
        <v>0.6</v>
      </c>
      <c r="E47" s="17">
        <v>10</v>
      </c>
      <c r="F47" s="17">
        <v>6</v>
      </c>
      <c r="G47" s="17">
        <v>27460622</v>
      </c>
      <c r="H47" s="17" t="s">
        <v>113</v>
      </c>
      <c r="I47" s="17" t="s">
        <v>214</v>
      </c>
      <c r="J47" s="17" t="s">
        <v>215</v>
      </c>
      <c r="K47" s="39" t="s">
        <v>195</v>
      </c>
      <c r="L47" s="45">
        <f t="shared" si="0"/>
        <v>1.667</v>
      </c>
      <c r="M47" s="46" t="str">
        <f t="shared" si="1"/>
        <v>DDD_paliperidone_OLZ</v>
      </c>
    </row>
    <row r="48" spans="1:13" ht="33.75">
      <c r="A48" s="25" t="s">
        <v>0</v>
      </c>
      <c r="B48" s="17" t="s">
        <v>14</v>
      </c>
      <c r="C48" s="17" t="s">
        <v>158</v>
      </c>
      <c r="D48" s="17">
        <v>40</v>
      </c>
      <c r="E48" s="17">
        <v>10</v>
      </c>
      <c r="F48" s="17">
        <v>400</v>
      </c>
      <c r="G48" s="17">
        <v>27460622</v>
      </c>
      <c r="H48" s="17" t="s">
        <v>113</v>
      </c>
      <c r="I48" s="17" t="s">
        <v>216</v>
      </c>
      <c r="J48" s="17" t="s">
        <v>217</v>
      </c>
      <c r="K48" s="39" t="s">
        <v>195</v>
      </c>
      <c r="L48" s="45">
        <f t="shared" si="0"/>
        <v>2.5000000000000001E-2</v>
      </c>
      <c r="M48" s="46" t="str">
        <f t="shared" si="1"/>
        <v>DDD_quetiapine_OLZ</v>
      </c>
    </row>
    <row r="49" spans="1:13" ht="33.75">
      <c r="A49" s="25" t="s">
        <v>0</v>
      </c>
      <c r="B49" s="17" t="s">
        <v>14</v>
      </c>
      <c r="C49" s="17" t="s">
        <v>161</v>
      </c>
      <c r="D49" s="17">
        <v>0.5</v>
      </c>
      <c r="E49" s="17">
        <v>10</v>
      </c>
      <c r="F49" s="17">
        <v>5</v>
      </c>
      <c r="G49" s="17">
        <v>27460622</v>
      </c>
      <c r="H49" s="17" t="s">
        <v>113</v>
      </c>
      <c r="I49" s="17" t="s">
        <v>218</v>
      </c>
      <c r="J49" s="17" t="s">
        <v>219</v>
      </c>
      <c r="K49" s="39" t="s">
        <v>195</v>
      </c>
      <c r="L49" s="45">
        <f t="shared" si="0"/>
        <v>2</v>
      </c>
      <c r="M49" s="46" t="str">
        <f t="shared" si="1"/>
        <v>DDD_risperidone_OLZ</v>
      </c>
    </row>
    <row r="50" spans="1:13" ht="33.75">
      <c r="A50" s="25" t="s">
        <v>0</v>
      </c>
      <c r="B50" s="17" t="s">
        <v>14</v>
      </c>
      <c r="C50" s="17" t="s">
        <v>163</v>
      </c>
      <c r="D50" s="17"/>
      <c r="E50" s="17"/>
      <c r="F50" s="17">
        <v>27460622</v>
      </c>
      <c r="H50" s="17" t="s">
        <v>220</v>
      </c>
      <c r="I50" s="17" t="s">
        <v>221</v>
      </c>
      <c r="J50" s="17" t="s">
        <v>222</v>
      </c>
      <c r="K50" s="17" t="s">
        <v>223</v>
      </c>
      <c r="L50" s="45" t="str">
        <f t="shared" si="0"/>
        <v/>
      </c>
      <c r="M50" s="46" t="str">
        <f t="shared" si="1"/>
        <v/>
      </c>
    </row>
    <row r="51" spans="1:13" ht="33.75">
      <c r="A51" s="25" t="s">
        <v>0</v>
      </c>
      <c r="B51" s="17" t="s">
        <v>14</v>
      </c>
      <c r="C51" s="17" t="s">
        <v>166</v>
      </c>
      <c r="D51" s="17">
        <v>12</v>
      </c>
      <c r="E51" s="17">
        <v>10</v>
      </c>
      <c r="F51" s="17">
        <v>120</v>
      </c>
      <c r="G51" s="17">
        <v>27460622</v>
      </c>
      <c r="H51" s="17" t="s">
        <v>113</v>
      </c>
      <c r="I51" s="17" t="s">
        <v>224</v>
      </c>
      <c r="J51" s="17" t="s">
        <v>225</v>
      </c>
      <c r="K51" s="39" t="s">
        <v>195</v>
      </c>
      <c r="L51" s="45">
        <f t="shared" si="0"/>
        <v>8.3000000000000004E-2</v>
      </c>
      <c r="M51" s="46" t="str">
        <f t="shared" si="1"/>
        <v>DDD_ziprasidone_OLZ</v>
      </c>
    </row>
    <row r="52" spans="1:13" ht="50.65">
      <c r="A52" s="25" t="s">
        <v>0</v>
      </c>
      <c r="B52" s="17" t="s">
        <v>14</v>
      </c>
      <c r="C52" s="17" t="s">
        <v>168</v>
      </c>
      <c r="D52" s="17">
        <v>20</v>
      </c>
      <c r="E52" s="17">
        <v>10</v>
      </c>
      <c r="F52" s="17">
        <v>200</v>
      </c>
      <c r="G52" s="17">
        <v>27460622</v>
      </c>
      <c r="H52" s="17" t="s">
        <v>113</v>
      </c>
      <c r="I52" s="17" t="s">
        <v>226</v>
      </c>
      <c r="J52" s="17" t="s">
        <v>227</v>
      </c>
      <c r="K52" s="39" t="s">
        <v>228</v>
      </c>
      <c r="L52" s="45">
        <f t="shared" si="0"/>
        <v>0.05</v>
      </c>
      <c r="M52" s="46" t="str">
        <f t="shared" si="1"/>
        <v>DDD_zotepine_OLZ</v>
      </c>
    </row>
    <row r="53" spans="1:13" ht="33.75">
      <c r="A53" s="25" t="s">
        <v>8</v>
      </c>
      <c r="B53" s="17" t="s">
        <v>17</v>
      </c>
      <c r="C53" s="17" t="s">
        <v>131</v>
      </c>
      <c r="D53" s="17">
        <v>85.238</v>
      </c>
      <c r="E53" s="17">
        <v>6.3</v>
      </c>
      <c r="F53" s="17">
        <v>537</v>
      </c>
      <c r="G53" s="17">
        <v>31838873</v>
      </c>
      <c r="H53" s="17" t="s">
        <v>113</v>
      </c>
      <c r="I53" s="17" t="s">
        <v>356</v>
      </c>
      <c r="J53" s="17" t="s">
        <v>229</v>
      </c>
      <c r="K53" s="39" t="s">
        <v>230</v>
      </c>
      <c r="L53" s="45">
        <f t="shared" si="0"/>
        <v>1.2E-2</v>
      </c>
      <c r="M53" s="46" t="str">
        <f t="shared" si="1"/>
        <v>ED95_amisulpride_RIS</v>
      </c>
    </row>
    <row r="54" spans="1:13" ht="33.75">
      <c r="A54" s="25" t="s">
        <v>8</v>
      </c>
      <c r="B54" s="17" t="s">
        <v>17</v>
      </c>
      <c r="C54" s="17" t="s">
        <v>136</v>
      </c>
      <c r="D54" s="17">
        <v>1.825</v>
      </c>
      <c r="E54" s="17">
        <v>6.3</v>
      </c>
      <c r="F54" s="17">
        <v>11.5</v>
      </c>
      <c r="G54" s="17">
        <v>31838873</v>
      </c>
      <c r="H54" s="17" t="s">
        <v>113</v>
      </c>
      <c r="I54" s="17" t="s">
        <v>231</v>
      </c>
      <c r="J54" s="17" t="s">
        <v>232</v>
      </c>
      <c r="K54" s="39" t="s">
        <v>230</v>
      </c>
      <c r="L54" s="45">
        <f t="shared" si="0"/>
        <v>0.54800000000000004</v>
      </c>
      <c r="M54" s="46" t="str">
        <f t="shared" si="1"/>
        <v>ED95_aripiprazole_RIS</v>
      </c>
    </row>
    <row r="55" spans="1:13" ht="33.75">
      <c r="A55" s="25" t="s">
        <v>8</v>
      </c>
      <c r="B55" s="17" t="s">
        <v>17</v>
      </c>
      <c r="C55" s="17" t="s">
        <v>140</v>
      </c>
      <c r="D55" s="17">
        <v>2.3809999999999998</v>
      </c>
      <c r="E55" s="17">
        <v>6.3</v>
      </c>
      <c r="F55" s="17">
        <v>15</v>
      </c>
      <c r="G55" s="17">
        <v>31838873</v>
      </c>
      <c r="H55" s="17" t="s">
        <v>113</v>
      </c>
      <c r="I55" s="17" t="s">
        <v>233</v>
      </c>
      <c r="J55" s="17" t="s">
        <v>234</v>
      </c>
      <c r="K55" s="39" t="s">
        <v>230</v>
      </c>
      <c r="L55" s="45">
        <f t="shared" si="0"/>
        <v>0.42</v>
      </c>
      <c r="M55" s="46" t="str">
        <f t="shared" si="1"/>
        <v>ED95_asenapine_RIS</v>
      </c>
    </row>
    <row r="56" spans="1:13" ht="33.75">
      <c r="A56" s="25" t="s">
        <v>8</v>
      </c>
      <c r="B56" s="17" t="s">
        <v>17</v>
      </c>
      <c r="C56" s="17" t="s">
        <v>235</v>
      </c>
      <c r="D56" s="17">
        <v>0.53300000000000003</v>
      </c>
      <c r="E56" s="17">
        <v>6.3</v>
      </c>
      <c r="F56" s="17">
        <v>3.36</v>
      </c>
      <c r="G56" s="17">
        <v>31838873</v>
      </c>
      <c r="H56" s="17" t="s">
        <v>113</v>
      </c>
      <c r="I56" s="17" t="s">
        <v>236</v>
      </c>
      <c r="J56" s="17" t="s">
        <v>237</v>
      </c>
      <c r="K56" s="39" t="s">
        <v>230</v>
      </c>
      <c r="L56" s="45">
        <f t="shared" si="0"/>
        <v>1.8759999999999999</v>
      </c>
      <c r="M56" s="46" t="str">
        <f t="shared" si="1"/>
        <v>ED95_brexpiprazole_RIS</v>
      </c>
    </row>
    <row r="57" spans="1:13" ht="67.5">
      <c r="A57" s="25" t="s">
        <v>8</v>
      </c>
      <c r="B57" s="17" t="s">
        <v>17</v>
      </c>
      <c r="C57" s="17" t="s">
        <v>116</v>
      </c>
      <c r="D57" s="17">
        <v>1</v>
      </c>
      <c r="E57" s="17">
        <v>6.3</v>
      </c>
      <c r="F57" s="17">
        <v>6.3</v>
      </c>
      <c r="G57" s="17">
        <v>31838873</v>
      </c>
      <c r="H57" s="17" t="s">
        <v>238</v>
      </c>
      <c r="I57" s="17" t="s">
        <v>259</v>
      </c>
      <c r="J57" s="17" t="s">
        <v>239</v>
      </c>
      <c r="K57" s="39" t="s">
        <v>240</v>
      </c>
      <c r="L57" s="45">
        <f t="shared" si="0"/>
        <v>1</v>
      </c>
      <c r="M57" s="46" t="str">
        <f t="shared" si="1"/>
        <v>ED95_haloperidol_RIS</v>
      </c>
    </row>
    <row r="58" spans="1:13" ht="33.75">
      <c r="A58" s="25" t="s">
        <v>8</v>
      </c>
      <c r="B58" s="17" t="s">
        <v>17</v>
      </c>
      <c r="C58" s="17" t="s">
        <v>146</v>
      </c>
      <c r="D58" s="17">
        <v>3.1949999999999998</v>
      </c>
      <c r="E58" s="17">
        <v>6.3</v>
      </c>
      <c r="F58" s="17">
        <v>20.13</v>
      </c>
      <c r="G58" s="17">
        <v>31838873</v>
      </c>
      <c r="H58" s="17" t="s">
        <v>113</v>
      </c>
      <c r="I58" s="17" t="s">
        <v>241</v>
      </c>
      <c r="J58" s="17" t="s">
        <v>242</v>
      </c>
      <c r="K58" s="39" t="s">
        <v>230</v>
      </c>
      <c r="L58" s="45">
        <f t="shared" si="0"/>
        <v>0.313</v>
      </c>
      <c r="M58" s="46" t="str">
        <f t="shared" si="1"/>
        <v>ED95_iloperidone_RIS</v>
      </c>
    </row>
    <row r="59" spans="1:13" ht="33.75">
      <c r="A59" s="25" t="s">
        <v>8</v>
      </c>
      <c r="B59" s="17" t="s">
        <v>17</v>
      </c>
      <c r="C59" s="17" t="s">
        <v>149</v>
      </c>
      <c r="D59" s="17">
        <v>23.332999999999998</v>
      </c>
      <c r="E59" s="17">
        <v>6.3</v>
      </c>
      <c r="F59" s="17">
        <v>147</v>
      </c>
      <c r="G59" s="17">
        <v>31838873</v>
      </c>
      <c r="H59" s="17" t="s">
        <v>113</v>
      </c>
      <c r="I59" s="17" t="s">
        <v>243</v>
      </c>
      <c r="J59" s="17" t="s">
        <v>244</v>
      </c>
      <c r="K59" s="39" t="s">
        <v>230</v>
      </c>
      <c r="L59" s="45">
        <f t="shared" si="0"/>
        <v>4.2999999999999997E-2</v>
      </c>
      <c r="M59" s="46" t="str">
        <f t="shared" si="1"/>
        <v>ED95_lurasidone_RIS</v>
      </c>
    </row>
    <row r="60" spans="1:13" ht="33.75">
      <c r="A60" s="25" t="s">
        <v>8</v>
      </c>
      <c r="B60" s="17" t="s">
        <v>17</v>
      </c>
      <c r="C60" s="17" t="s">
        <v>152</v>
      </c>
      <c r="D60" s="17">
        <v>2.4129999999999998</v>
      </c>
      <c r="E60" s="17">
        <v>6.3</v>
      </c>
      <c r="F60" s="17">
        <v>15.2</v>
      </c>
      <c r="G60" s="17">
        <v>31838873</v>
      </c>
      <c r="H60" s="17" t="s">
        <v>113</v>
      </c>
      <c r="I60" s="17" t="s">
        <v>245</v>
      </c>
      <c r="J60" s="17" t="s">
        <v>246</v>
      </c>
      <c r="K60" s="39" t="s">
        <v>230</v>
      </c>
      <c r="L60" s="45">
        <f t="shared" si="0"/>
        <v>0.41399999999999998</v>
      </c>
      <c r="M60" s="46" t="str">
        <f t="shared" si="1"/>
        <v>ED95_olanzapine_RIS</v>
      </c>
    </row>
    <row r="61" spans="1:13" ht="33.75">
      <c r="A61" s="25" t="s">
        <v>8</v>
      </c>
      <c r="B61" s="17" t="s">
        <v>17</v>
      </c>
      <c r="C61" s="17" t="s">
        <v>155</v>
      </c>
      <c r="D61" s="17">
        <v>2.1269999999999998</v>
      </c>
      <c r="E61" s="17">
        <v>6.3</v>
      </c>
      <c r="F61" s="17">
        <v>13.4</v>
      </c>
      <c r="G61" s="17">
        <v>31838873</v>
      </c>
      <c r="H61" s="17" t="s">
        <v>113</v>
      </c>
      <c r="I61" s="17" t="s">
        <v>247</v>
      </c>
      <c r="J61" s="17" t="s">
        <v>248</v>
      </c>
      <c r="K61" s="39" t="s">
        <v>230</v>
      </c>
      <c r="L61" s="45">
        <f t="shared" si="0"/>
        <v>0.47</v>
      </c>
      <c r="M61" s="46" t="str">
        <f t="shared" si="1"/>
        <v>ED95_paliperidone_RIS</v>
      </c>
    </row>
    <row r="62" spans="1:13" ht="33.75">
      <c r="A62" s="25" t="s">
        <v>8</v>
      </c>
      <c r="B62" s="17" t="s">
        <v>17</v>
      </c>
      <c r="C62" s="17" t="s">
        <v>158</v>
      </c>
      <c r="D62" s="17">
        <v>76.507999999999996</v>
      </c>
      <c r="E62" s="17">
        <v>6.3</v>
      </c>
      <c r="F62" s="17">
        <v>482</v>
      </c>
      <c r="G62" s="17">
        <v>31838873</v>
      </c>
      <c r="H62" s="17" t="s">
        <v>113</v>
      </c>
      <c r="I62" s="17" t="s">
        <v>249</v>
      </c>
      <c r="J62" s="17" t="s">
        <v>250</v>
      </c>
      <c r="K62" s="39" t="s">
        <v>230</v>
      </c>
      <c r="L62" s="45">
        <f t="shared" si="0"/>
        <v>1.2999999999999999E-2</v>
      </c>
      <c r="M62" s="46" t="str">
        <f t="shared" si="1"/>
        <v>ED95_quetiapine_RIS</v>
      </c>
    </row>
    <row r="63" spans="1:13" ht="33.75">
      <c r="A63" s="25" t="s">
        <v>8</v>
      </c>
      <c r="B63" s="17" t="s">
        <v>17</v>
      </c>
      <c r="C63" s="17" t="s">
        <v>161</v>
      </c>
      <c r="D63" s="17">
        <v>1</v>
      </c>
      <c r="E63" s="17">
        <v>6.3</v>
      </c>
      <c r="F63" s="17">
        <v>6.3</v>
      </c>
      <c r="G63" s="17">
        <v>31838873</v>
      </c>
      <c r="H63" s="17" t="s">
        <v>108</v>
      </c>
      <c r="I63" s="17" t="s">
        <v>185</v>
      </c>
      <c r="J63" s="17" t="s">
        <v>251</v>
      </c>
      <c r="K63" s="39" t="s">
        <v>252</v>
      </c>
      <c r="L63" s="45">
        <f t="shared" si="0"/>
        <v>1</v>
      </c>
      <c r="M63" s="46" t="str">
        <f t="shared" si="1"/>
        <v>ED95_risperidone_RIS</v>
      </c>
    </row>
    <row r="64" spans="1:13" ht="33.75">
      <c r="A64" s="25" t="s">
        <v>8</v>
      </c>
      <c r="B64" s="17" t="s">
        <v>17</v>
      </c>
      <c r="C64" s="17" t="s">
        <v>163</v>
      </c>
      <c r="D64" s="17">
        <v>3.5710000000000002</v>
      </c>
      <c r="E64" s="17">
        <v>6.3</v>
      </c>
      <c r="F64" s="17">
        <v>22.5</v>
      </c>
      <c r="G64" s="17">
        <v>31838873</v>
      </c>
      <c r="H64" s="17" t="s">
        <v>113</v>
      </c>
      <c r="I64" s="17" t="s">
        <v>253</v>
      </c>
      <c r="J64" s="17" t="s">
        <v>254</v>
      </c>
      <c r="K64" s="39" t="s">
        <v>230</v>
      </c>
      <c r="L64" s="45">
        <f t="shared" si="0"/>
        <v>0.28000000000000003</v>
      </c>
      <c r="M64" s="46" t="str">
        <f t="shared" si="1"/>
        <v>ED95_sertindole_RIS</v>
      </c>
    </row>
    <row r="65" spans="1:13" ht="34.15" thickBot="1">
      <c r="A65" s="32" t="s">
        <v>8</v>
      </c>
      <c r="B65" s="19" t="s">
        <v>17</v>
      </c>
      <c r="C65" s="19" t="s">
        <v>166</v>
      </c>
      <c r="D65" s="19">
        <v>29.524000000000001</v>
      </c>
      <c r="E65" s="19">
        <v>6.3</v>
      </c>
      <c r="F65" s="19">
        <v>186</v>
      </c>
      <c r="G65" s="19">
        <v>31838873</v>
      </c>
      <c r="H65" s="19" t="s">
        <v>113</v>
      </c>
      <c r="I65" s="19" t="s">
        <v>255</v>
      </c>
      <c r="J65" s="19" t="s">
        <v>256</v>
      </c>
      <c r="K65" s="40" t="s">
        <v>230</v>
      </c>
      <c r="L65" s="47">
        <f t="shared" si="0"/>
        <v>3.4000000000000002E-2</v>
      </c>
      <c r="M65" s="48" t="str">
        <f t="shared" si="1"/>
        <v>ED95_ziprasidone_RIS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69B2-B55F-425C-95E1-5BAD71BE63B0}">
  <dimension ref="A1:M18"/>
  <sheetViews>
    <sheetView workbookViewId="0">
      <selection activeCell="M18" sqref="M18"/>
    </sheetView>
  </sheetViews>
  <sheetFormatPr defaultRowHeight="16.899999999999999"/>
  <cols>
    <col min="1" max="1" width="6.3125" style="4" bestFit="1" customWidth="1"/>
    <col min="2" max="2" width="9.6875" style="4" bestFit="1" customWidth="1"/>
    <col min="3" max="3" width="11.0625" style="4" bestFit="1" customWidth="1"/>
    <col min="4" max="4" width="10.5625" style="4" bestFit="1" customWidth="1"/>
    <col min="5" max="5" width="11.1875" style="4" bestFit="1" customWidth="1"/>
    <col min="6" max="6" width="8.0625" style="4" bestFit="1" customWidth="1"/>
    <col min="7" max="7" width="22.9375" style="4" bestFit="1" customWidth="1"/>
    <col min="8" max="8" width="12" style="4" bestFit="1" customWidth="1"/>
    <col min="9" max="9" width="12.3125" style="4" bestFit="1" customWidth="1"/>
    <col min="10" max="10" width="15.0625" style="4" bestFit="1" customWidth="1"/>
    <col min="11" max="11" width="12.875" style="4" bestFit="1" customWidth="1"/>
    <col min="12" max="12" width="10.125" style="4" bestFit="1" customWidth="1"/>
    <col min="13" max="13" width="39.125" style="1" customWidth="1"/>
    <col min="14" max="16384" width="9" style="4"/>
  </cols>
  <sheetData>
    <row r="1" spans="1:13" ht="17.25" thickBot="1">
      <c r="A1" s="14" t="s">
        <v>261</v>
      </c>
      <c r="B1" s="15" t="s">
        <v>101</v>
      </c>
      <c r="C1" s="15" t="s">
        <v>12</v>
      </c>
      <c r="D1" s="15" t="s">
        <v>15</v>
      </c>
      <c r="E1" s="15" t="s">
        <v>262</v>
      </c>
      <c r="F1" s="15" t="s">
        <v>263</v>
      </c>
      <c r="G1" s="15" t="s">
        <v>264</v>
      </c>
      <c r="H1" s="15" t="s">
        <v>265</v>
      </c>
      <c r="I1" s="15" t="s">
        <v>266</v>
      </c>
      <c r="J1" s="15" t="s">
        <v>267</v>
      </c>
      <c r="K1" s="15" t="s">
        <v>268</v>
      </c>
      <c r="L1" s="15" t="s">
        <v>269</v>
      </c>
      <c r="M1" s="24" t="s">
        <v>270</v>
      </c>
    </row>
    <row r="2" spans="1:13">
      <c r="A2" s="7" t="s">
        <v>271</v>
      </c>
      <c r="B2" s="6" t="s">
        <v>1</v>
      </c>
      <c r="C2" s="6" t="s">
        <v>14</v>
      </c>
      <c r="D2" s="6" t="s">
        <v>161</v>
      </c>
      <c r="E2" s="6">
        <v>10</v>
      </c>
      <c r="F2" s="6" t="s">
        <v>272</v>
      </c>
      <c r="G2" s="6" t="s">
        <v>63</v>
      </c>
      <c r="H2" s="6">
        <v>2.67</v>
      </c>
      <c r="I2" s="6">
        <v>0.05</v>
      </c>
      <c r="J2" s="6" t="s">
        <v>273</v>
      </c>
      <c r="K2" s="6" t="s">
        <v>274</v>
      </c>
      <c r="L2" s="6" t="s">
        <v>274</v>
      </c>
      <c r="M2" s="22" t="s">
        <v>275</v>
      </c>
    </row>
    <row r="3" spans="1:13">
      <c r="A3" s="9" t="s">
        <v>276</v>
      </c>
      <c r="B3" s="5" t="s">
        <v>1</v>
      </c>
      <c r="C3" s="5" t="s">
        <v>161</v>
      </c>
      <c r="D3" s="5" t="s">
        <v>14</v>
      </c>
      <c r="E3" s="5">
        <v>4</v>
      </c>
      <c r="F3" s="5" t="s">
        <v>277</v>
      </c>
      <c r="G3" s="5" t="s">
        <v>278</v>
      </c>
      <c r="H3" s="5">
        <v>14.98</v>
      </c>
      <c r="I3" s="5">
        <v>0.05</v>
      </c>
      <c r="J3" s="5" t="s">
        <v>273</v>
      </c>
      <c r="K3" s="5" t="s">
        <v>274</v>
      </c>
      <c r="L3" s="5" t="s">
        <v>274</v>
      </c>
      <c r="M3" s="18" t="s">
        <v>279</v>
      </c>
    </row>
    <row r="4" spans="1:13">
      <c r="A4" s="9" t="s">
        <v>280</v>
      </c>
      <c r="B4" s="5" t="s">
        <v>2</v>
      </c>
      <c r="C4" s="5" t="s">
        <v>14</v>
      </c>
      <c r="D4" s="5" t="s">
        <v>161</v>
      </c>
      <c r="E4" s="5">
        <v>10</v>
      </c>
      <c r="F4" s="5" t="s">
        <v>272</v>
      </c>
      <c r="G4" s="5" t="s">
        <v>189</v>
      </c>
      <c r="H4" s="5">
        <v>4</v>
      </c>
      <c r="I4" s="5">
        <v>0.05</v>
      </c>
      <c r="J4" s="5" t="s">
        <v>273</v>
      </c>
      <c r="K4" s="5" t="s">
        <v>274</v>
      </c>
      <c r="L4" s="5" t="s">
        <v>274</v>
      </c>
      <c r="M4" s="18" t="s">
        <v>281</v>
      </c>
    </row>
    <row r="5" spans="1:13">
      <c r="A5" s="9" t="s">
        <v>282</v>
      </c>
      <c r="B5" s="5" t="s">
        <v>2</v>
      </c>
      <c r="C5" s="5" t="s">
        <v>161</v>
      </c>
      <c r="D5" s="5" t="s">
        <v>14</v>
      </c>
      <c r="E5" s="5">
        <v>4</v>
      </c>
      <c r="F5" s="5" t="s">
        <v>277</v>
      </c>
      <c r="G5" s="5" t="s">
        <v>283</v>
      </c>
      <c r="H5" s="5">
        <v>10</v>
      </c>
      <c r="I5" s="5">
        <v>0.05</v>
      </c>
      <c r="J5" s="5" t="s">
        <v>273</v>
      </c>
      <c r="K5" s="5" t="s">
        <v>274</v>
      </c>
      <c r="L5" s="5" t="s">
        <v>274</v>
      </c>
      <c r="M5" s="18" t="s">
        <v>284</v>
      </c>
    </row>
    <row r="6" spans="1:13">
      <c r="A6" s="9" t="s">
        <v>285</v>
      </c>
      <c r="B6" s="5" t="s">
        <v>8</v>
      </c>
      <c r="C6" s="5" t="s">
        <v>17</v>
      </c>
      <c r="D6" s="5" t="s">
        <v>152</v>
      </c>
      <c r="E6" s="5">
        <v>6.3</v>
      </c>
      <c r="F6" s="5" t="s">
        <v>272</v>
      </c>
      <c r="G6" s="5" t="s">
        <v>246</v>
      </c>
      <c r="H6" s="5">
        <v>15.2</v>
      </c>
      <c r="I6" s="5">
        <v>0.05</v>
      </c>
      <c r="J6" s="5" t="s">
        <v>273</v>
      </c>
      <c r="K6" s="5" t="s">
        <v>274</v>
      </c>
      <c r="L6" s="5" t="s">
        <v>274</v>
      </c>
      <c r="M6" s="18" t="s">
        <v>286</v>
      </c>
    </row>
    <row r="7" spans="1:13">
      <c r="A7" s="9" t="s">
        <v>287</v>
      </c>
      <c r="B7" s="5" t="s">
        <v>8</v>
      </c>
      <c r="C7" s="5" t="s">
        <v>152</v>
      </c>
      <c r="D7" s="5" t="s">
        <v>17</v>
      </c>
      <c r="E7" s="5">
        <v>15.2</v>
      </c>
      <c r="F7" s="5" t="s">
        <v>277</v>
      </c>
      <c r="G7" s="5" t="s">
        <v>288</v>
      </c>
      <c r="H7" s="5">
        <v>6.3</v>
      </c>
      <c r="I7" s="5">
        <v>0.05</v>
      </c>
      <c r="J7" s="5" t="s">
        <v>273</v>
      </c>
      <c r="K7" s="5" t="s">
        <v>274</v>
      </c>
      <c r="L7" s="5" t="s">
        <v>274</v>
      </c>
      <c r="M7" s="18" t="s">
        <v>289</v>
      </c>
    </row>
    <row r="8" spans="1:13">
      <c r="A8" s="9" t="s">
        <v>290</v>
      </c>
      <c r="B8" s="5" t="s">
        <v>1</v>
      </c>
      <c r="C8" s="5" t="s">
        <v>14</v>
      </c>
      <c r="D8" s="5" t="s">
        <v>158</v>
      </c>
      <c r="E8" s="5">
        <v>7.5</v>
      </c>
      <c r="F8" s="5" t="s">
        <v>272</v>
      </c>
      <c r="G8" s="5" t="s">
        <v>160</v>
      </c>
      <c r="H8" s="5">
        <v>150</v>
      </c>
      <c r="I8" s="5">
        <v>0.05</v>
      </c>
      <c r="J8" s="5" t="s">
        <v>273</v>
      </c>
      <c r="K8" s="5" t="s">
        <v>274</v>
      </c>
      <c r="L8" s="5" t="s">
        <v>274</v>
      </c>
      <c r="M8" s="18" t="s">
        <v>291</v>
      </c>
    </row>
    <row r="9" spans="1:13">
      <c r="A9" s="9" t="s">
        <v>292</v>
      </c>
      <c r="B9" s="5" t="s">
        <v>0</v>
      </c>
      <c r="C9" s="5" t="s">
        <v>14</v>
      </c>
      <c r="D9" s="5" t="s">
        <v>161</v>
      </c>
      <c r="E9" s="5">
        <v>10</v>
      </c>
      <c r="F9" s="5" t="s">
        <v>272</v>
      </c>
      <c r="G9" s="5" t="s">
        <v>219</v>
      </c>
      <c r="H9" s="5">
        <v>5</v>
      </c>
      <c r="I9" s="5">
        <v>0.05</v>
      </c>
      <c r="J9" s="5" t="s">
        <v>273</v>
      </c>
      <c r="K9" s="5" t="s">
        <v>274</v>
      </c>
      <c r="L9" s="5" t="s">
        <v>274</v>
      </c>
      <c r="M9" s="18" t="s">
        <v>293</v>
      </c>
    </row>
    <row r="10" spans="1:13" ht="33.75">
      <c r="A10" s="9" t="s">
        <v>294</v>
      </c>
      <c r="B10" s="5" t="s">
        <v>75</v>
      </c>
      <c r="C10" s="5" t="s">
        <v>78</v>
      </c>
      <c r="D10" s="5" t="s">
        <v>116</v>
      </c>
      <c r="E10" s="5">
        <v>100</v>
      </c>
      <c r="F10" s="5" t="s">
        <v>272</v>
      </c>
      <c r="G10" s="5" t="s">
        <v>117</v>
      </c>
      <c r="H10" s="5">
        <v>1.6</v>
      </c>
      <c r="I10" s="5">
        <v>0.05</v>
      </c>
      <c r="J10" s="5" t="s">
        <v>273</v>
      </c>
      <c r="K10" s="5" t="s">
        <v>274</v>
      </c>
      <c r="L10" s="5" t="s">
        <v>274</v>
      </c>
      <c r="M10" s="18" t="s">
        <v>295</v>
      </c>
    </row>
    <row r="11" spans="1:13" ht="50.65">
      <c r="A11" s="9" t="s">
        <v>296</v>
      </c>
      <c r="B11" s="5" t="s">
        <v>75</v>
      </c>
      <c r="C11" s="5" t="s">
        <v>116</v>
      </c>
      <c r="D11" s="5" t="s">
        <v>78</v>
      </c>
      <c r="E11" s="5">
        <v>2</v>
      </c>
      <c r="F11" s="5" t="s">
        <v>277</v>
      </c>
      <c r="G11" s="5" t="s">
        <v>297</v>
      </c>
      <c r="H11" s="5">
        <v>125</v>
      </c>
      <c r="I11" s="5">
        <v>1</v>
      </c>
      <c r="J11" s="5" t="s">
        <v>298</v>
      </c>
      <c r="K11" s="5" t="s">
        <v>274</v>
      </c>
      <c r="L11" s="5" t="s">
        <v>274</v>
      </c>
      <c r="M11" s="18" t="s">
        <v>299</v>
      </c>
    </row>
    <row r="12" spans="1:13" ht="33.75">
      <c r="A12" s="9" t="s">
        <v>300</v>
      </c>
      <c r="B12" s="5" t="s">
        <v>0</v>
      </c>
      <c r="C12" s="5" t="s">
        <v>14</v>
      </c>
      <c r="D12" s="5" t="s">
        <v>168</v>
      </c>
      <c r="E12" s="5">
        <v>10</v>
      </c>
      <c r="F12" s="5" t="s">
        <v>272</v>
      </c>
      <c r="G12" s="5" t="s">
        <v>227</v>
      </c>
      <c r="H12" s="5">
        <v>200</v>
      </c>
      <c r="I12" s="5">
        <v>1</v>
      </c>
      <c r="J12" s="5" t="s">
        <v>301</v>
      </c>
      <c r="K12" s="5" t="s">
        <v>274</v>
      </c>
      <c r="L12" s="5" t="s">
        <v>274</v>
      </c>
      <c r="M12" s="18" t="s">
        <v>302</v>
      </c>
    </row>
    <row r="13" spans="1:13" ht="34.15" thickBot="1">
      <c r="A13" s="11" t="s">
        <v>303</v>
      </c>
      <c r="B13" s="12" t="s">
        <v>1</v>
      </c>
      <c r="C13" s="12" t="s">
        <v>14</v>
      </c>
      <c r="D13" s="12" t="s">
        <v>131</v>
      </c>
      <c r="E13" s="12">
        <v>10</v>
      </c>
      <c r="F13" s="12" t="s">
        <v>272</v>
      </c>
      <c r="G13" s="12" t="s">
        <v>134</v>
      </c>
      <c r="H13" s="12" t="s">
        <v>304</v>
      </c>
      <c r="I13" s="12" t="s">
        <v>304</v>
      </c>
      <c r="J13" s="12" t="s">
        <v>305</v>
      </c>
      <c r="K13" s="12" t="s">
        <v>306</v>
      </c>
      <c r="L13" s="12" t="s">
        <v>132</v>
      </c>
      <c r="M13" s="20" t="s">
        <v>307</v>
      </c>
    </row>
    <row r="15" spans="1:13">
      <c r="A15" s="50" t="s">
        <v>308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/>
    </row>
    <row r="16" spans="1:13">
      <c r="A16"/>
    </row>
    <row r="17" spans="1:11" ht="16.899999999999999" customHeight="1">
      <c r="A17" s="49" t="s">
        <v>309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</row>
    <row r="18" spans="1:1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</row>
  </sheetData>
  <mergeCells count="2">
    <mergeCell ref="A17:K18"/>
    <mergeCell ref="A15:K1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3584-97D8-4B83-9CCE-AFF3E76FCEA5}">
  <dimension ref="A1:E10"/>
  <sheetViews>
    <sheetView workbookViewId="0">
      <selection activeCell="H8" sqref="H8"/>
    </sheetView>
  </sheetViews>
  <sheetFormatPr defaultRowHeight="16.899999999999999"/>
  <cols>
    <col min="1" max="1" width="6.875" style="4" bestFit="1" customWidth="1"/>
    <col min="2" max="2" width="10.5625" style="4" bestFit="1" customWidth="1"/>
    <col min="3" max="3" width="12.0625" style="4" bestFit="1" customWidth="1"/>
    <col min="4" max="4" width="56.25" style="1" customWidth="1"/>
    <col min="5" max="5" width="19.5" style="4" bestFit="1" customWidth="1"/>
    <col min="6" max="16384" width="9" style="4"/>
  </cols>
  <sheetData>
    <row r="1" spans="1:5" ht="17.25" thickBot="1">
      <c r="A1" s="14" t="s">
        <v>310</v>
      </c>
      <c r="B1" s="15" t="s">
        <v>311</v>
      </c>
      <c r="C1" s="15" t="s">
        <v>312</v>
      </c>
      <c r="D1" s="23" t="s">
        <v>313</v>
      </c>
      <c r="E1" s="16" t="s">
        <v>314</v>
      </c>
    </row>
    <row r="2" spans="1:5" ht="33.75">
      <c r="A2" s="7" t="s">
        <v>315</v>
      </c>
      <c r="B2" s="36">
        <v>46169</v>
      </c>
      <c r="C2" s="6" t="s">
        <v>316</v>
      </c>
      <c r="D2" s="21" t="s">
        <v>317</v>
      </c>
      <c r="E2" s="8" t="s">
        <v>318</v>
      </c>
    </row>
    <row r="3" spans="1:5">
      <c r="A3" s="9" t="s">
        <v>315</v>
      </c>
      <c r="B3" s="34">
        <v>46169</v>
      </c>
      <c r="C3" s="5" t="s">
        <v>319</v>
      </c>
      <c r="D3" s="17" t="s">
        <v>320</v>
      </c>
      <c r="E3" s="10" t="s">
        <v>321</v>
      </c>
    </row>
    <row r="4" spans="1:5" ht="33.75">
      <c r="A4" s="9" t="s">
        <v>315</v>
      </c>
      <c r="B4" s="34">
        <v>46169</v>
      </c>
      <c r="C4" s="5" t="s">
        <v>319</v>
      </c>
      <c r="D4" s="17" t="s">
        <v>322</v>
      </c>
      <c r="E4" s="10" t="s">
        <v>227</v>
      </c>
    </row>
    <row r="5" spans="1:5">
      <c r="A5" s="9" t="s">
        <v>315</v>
      </c>
      <c r="B5" s="34">
        <v>46169</v>
      </c>
      <c r="C5" s="5" t="s">
        <v>319</v>
      </c>
      <c r="D5" s="17" t="s">
        <v>323</v>
      </c>
      <c r="E5" s="10" t="s">
        <v>208</v>
      </c>
    </row>
    <row r="6" spans="1:5" ht="33.75">
      <c r="A6" s="9" t="s">
        <v>315</v>
      </c>
      <c r="B6" s="34">
        <v>46169</v>
      </c>
      <c r="C6" s="5" t="s">
        <v>324</v>
      </c>
      <c r="D6" s="17" t="s">
        <v>325</v>
      </c>
      <c r="E6" s="10" t="s">
        <v>326</v>
      </c>
    </row>
    <row r="7" spans="1:5" ht="33.75">
      <c r="A7" s="9" t="s">
        <v>315</v>
      </c>
      <c r="B7" s="34">
        <v>46169</v>
      </c>
      <c r="C7" s="5" t="s">
        <v>324</v>
      </c>
      <c r="D7" s="17" t="s">
        <v>327</v>
      </c>
      <c r="E7" s="10" t="s">
        <v>239</v>
      </c>
    </row>
    <row r="8" spans="1:5" ht="33.75">
      <c r="A8" s="9" t="s">
        <v>315</v>
      </c>
      <c r="B8" s="34">
        <v>46169</v>
      </c>
      <c r="C8" s="5" t="s">
        <v>328</v>
      </c>
      <c r="D8" s="17" t="s">
        <v>329</v>
      </c>
      <c r="E8" s="10" t="s">
        <v>330</v>
      </c>
    </row>
    <row r="9" spans="1:5" ht="33.75">
      <c r="A9" s="9" t="s">
        <v>315</v>
      </c>
      <c r="B9" s="34">
        <v>46169</v>
      </c>
      <c r="C9" s="5" t="s">
        <v>331</v>
      </c>
      <c r="D9" s="17" t="s">
        <v>332</v>
      </c>
      <c r="E9" s="10" t="s">
        <v>333</v>
      </c>
    </row>
    <row r="10" spans="1:5" ht="34.15" thickBot="1">
      <c r="A10" s="11" t="s">
        <v>315</v>
      </c>
      <c r="B10" s="35">
        <v>46169</v>
      </c>
      <c r="C10" s="12" t="s">
        <v>331</v>
      </c>
      <c r="D10" s="19" t="s">
        <v>334</v>
      </c>
      <c r="E10" s="13" t="s">
        <v>318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36E7-43F2-4948-AE90-9E27AE39BBA8}">
  <dimension ref="A1:E6"/>
  <sheetViews>
    <sheetView workbookViewId="0">
      <selection activeCell="F4" sqref="F4"/>
    </sheetView>
  </sheetViews>
  <sheetFormatPr defaultRowHeight="16.899999999999999"/>
  <cols>
    <col min="1" max="1" width="9.6875" bestFit="1" customWidth="1"/>
    <col min="2" max="2" width="35.75" style="3" customWidth="1"/>
    <col min="3" max="3" width="17" bestFit="1" customWidth="1"/>
    <col min="4" max="4" width="57.5625" style="3" customWidth="1"/>
  </cols>
  <sheetData>
    <row r="1" spans="1:5" ht="17.25" thickBot="1">
      <c r="A1" s="14" t="s">
        <v>101</v>
      </c>
      <c r="B1" s="23" t="s">
        <v>335</v>
      </c>
      <c r="C1" s="15" t="s">
        <v>336</v>
      </c>
      <c r="D1" s="23" t="s">
        <v>337</v>
      </c>
      <c r="E1" s="16" t="s">
        <v>103</v>
      </c>
    </row>
    <row r="2" spans="1:5">
      <c r="A2" s="7" t="s">
        <v>75</v>
      </c>
      <c r="B2" s="21" t="s">
        <v>338</v>
      </c>
      <c r="C2" s="6" t="s">
        <v>339</v>
      </c>
      <c r="D2" s="21" t="s">
        <v>340</v>
      </c>
      <c r="E2" s="8">
        <v>4156792</v>
      </c>
    </row>
    <row r="3" spans="1:5" ht="33.75">
      <c r="A3" s="9" t="s">
        <v>1</v>
      </c>
      <c r="B3" s="17" t="s">
        <v>341</v>
      </c>
      <c r="C3" s="5" t="s">
        <v>342</v>
      </c>
      <c r="D3" s="17" t="s">
        <v>343</v>
      </c>
      <c r="E3" s="10">
        <v>24493852</v>
      </c>
    </row>
    <row r="4" spans="1:5" ht="67.5">
      <c r="A4" s="9" t="s">
        <v>2</v>
      </c>
      <c r="B4" s="17" t="s">
        <v>344</v>
      </c>
      <c r="C4" s="5" t="s">
        <v>345</v>
      </c>
      <c r="D4" s="17" t="s">
        <v>346</v>
      </c>
      <c r="E4" s="10">
        <v>25841041</v>
      </c>
    </row>
    <row r="5" spans="1:5">
      <c r="A5" s="9" t="s">
        <v>0</v>
      </c>
      <c r="B5" s="17" t="s">
        <v>347</v>
      </c>
      <c r="C5" s="5" t="s">
        <v>348</v>
      </c>
      <c r="D5" s="17" t="s">
        <v>349</v>
      </c>
      <c r="E5" s="10">
        <v>27460622</v>
      </c>
    </row>
    <row r="6" spans="1:5" ht="34.15" thickBot="1">
      <c r="A6" s="11" t="s">
        <v>8</v>
      </c>
      <c r="B6" s="19" t="s">
        <v>350</v>
      </c>
      <c r="C6" s="12" t="s">
        <v>351</v>
      </c>
      <c r="D6" s="19" t="s">
        <v>352</v>
      </c>
      <c r="E6" s="13">
        <v>31838873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Direction_Definition</vt:lpstr>
      <vt:lpstr>Method_Reference</vt:lpstr>
      <vt:lpstr>Master_Conversion_DB </vt:lpstr>
      <vt:lpstr>Validation_Cases (확정판)</vt:lpstr>
      <vt:lpstr>Changelog</vt:lpstr>
      <vt:lpstr>Method_Denominators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yeweon jung</dc:creator>
  <cp:lastModifiedBy>yeweon jung</cp:lastModifiedBy>
  <dcterms:created xsi:type="dcterms:W3CDTF">2026-05-27T06:20:51Z</dcterms:created>
  <dcterms:modified xsi:type="dcterms:W3CDTF">2026-05-27T08:04:52Z</dcterms:modified>
</cp:coreProperties>
</file>